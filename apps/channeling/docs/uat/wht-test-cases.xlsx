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Test Cases" sheetId="2" state="visible" r:id="rId2"/>
    <sheet xmlns:r="http://schemas.openxmlformats.org/officeDocument/2006/relationships" name="Sign-off" sheetId="3" state="visible" r:id="rId3"/>
    <sheet xmlns:r="http://schemas.openxmlformats.org/officeDocument/2006/relationships" name="Lists" sheetId="4" state="hidden" r:id="rId4"/>
  </sheets>
  <definedNames>
    <definedName name="_xlnm.Print_Titles" localSheetId="0">'How to use'!$1:$4</definedName>
    <definedName name="_xlnm._FilterDatabase" localSheetId="1" hidden="1">'Test Cases'!$A$4:$H$39</definedName>
    <definedName name="_xlnm.Print_Titles" localSheetId="1">'Test Cases'!$1:$4</definedName>
  </definedNames>
  <calcPr calcId="124519" calcMode="auto" fullCalcOnLoad="1"/>
</workbook>
</file>

<file path=xl/styles.xml><?xml version="1.0" encoding="utf-8"?>
<styleSheet xmlns="http://schemas.openxmlformats.org/spreadsheetml/2006/main">
  <numFmts count="1">
    <numFmt numFmtId="164" formatCode="0.0%"/>
  </numFmts>
  <fonts count="22">
    <font>
      <name val="Calibri"/>
      <family val="2"/>
      <color theme="1"/>
      <sz val="11"/>
      <scheme val="minor"/>
    </font>
    <font>
      <name val="Arial"/>
      <b val="1"/>
      <color rgb="000F6E6E"/>
      <sz val="14"/>
    </font>
    <font>
      <name val="Arial"/>
      <b val="1"/>
      <color rgb="001F4E79"/>
      <sz val="22"/>
    </font>
    <font>
      <name val="Arial"/>
      <color rgb="001F2933"/>
      <sz val="12"/>
    </font>
    <font>
      <name val="Arial"/>
      <b val="1"/>
      <color rgb="00FFFFFF"/>
      <sz val="11"/>
    </font>
    <font>
      <name val="Arial"/>
      <color rgb="001F2933"/>
      <sz val="11"/>
    </font>
    <font>
      <name val="Arial"/>
      <b val="1"/>
      <color rgb="001F4E79"/>
      <sz val="10"/>
    </font>
    <font>
      <name val="Arial"/>
      <color rgb="001F2933"/>
      <sz val="10"/>
    </font>
    <font>
      <name val="Arial"/>
      <color rgb="000000FF"/>
      <sz val="11"/>
    </font>
    <font>
      <name val="Arial"/>
      <b val="1"/>
      <color rgb="001F2933"/>
      <sz val="10"/>
    </font>
    <font>
      <name val="Arial"/>
      <b val="1"/>
      <color rgb="005C6B7A"/>
      <sz val="11"/>
    </font>
    <font>
      <name val="Arial"/>
      <color rgb="0052606D"/>
      <sz val="10"/>
    </font>
    <font>
      <name val="Arial"/>
      <b val="1"/>
      <color rgb="00FFFFFF"/>
      <sz val="10"/>
    </font>
    <font>
      <name val="Arial"/>
      <b val="1"/>
      <color rgb="001F2933"/>
      <sz val="11"/>
    </font>
    <font>
      <name val="Arial"/>
      <b val="1"/>
      <color rgb="001F4E79"/>
      <sz val="16"/>
    </font>
    <font>
      <name val="Arial"/>
      <b val="1"/>
      <color rgb="001F4E79"/>
      <sz val="18"/>
    </font>
    <font>
      <name val="Arial"/>
      <b val="1"/>
      <color rgb="001F4E79"/>
      <sz val="14"/>
    </font>
    <font>
      <name val="Arial"/>
      <color rgb="001F2933"/>
      <sz val="9"/>
    </font>
    <font>
      <name val="Arial"/>
      <b val="1"/>
      <color rgb="001F4E79"/>
      <sz val="11"/>
    </font>
    <font>
      <name val="Arial"/>
      <b val="1"/>
      <color rgb="001E7A46"/>
      <sz val="10"/>
    </font>
    <font>
      <name val="Arial"/>
      <color rgb="0052606D"/>
      <sz val="8"/>
    </font>
    <font>
      <name val="Arial"/>
      <sz val="10"/>
    </font>
  </fonts>
  <fills count="14">
    <fill>
      <patternFill/>
    </fill>
    <fill>
      <patternFill patternType="gray125"/>
    </fill>
    <fill>
      <patternFill patternType="solid">
        <fgColor rgb="001F4E79"/>
      </patternFill>
    </fill>
    <fill>
      <patternFill patternType="solid">
        <fgColor rgb="00F4F6F8"/>
      </patternFill>
    </fill>
    <fill>
      <patternFill patternType="solid">
        <fgColor rgb="000F6E6E"/>
      </patternFill>
    </fill>
    <fill>
      <patternFill patternType="solid">
        <fgColor rgb="00FFFFFF"/>
      </patternFill>
    </fill>
    <fill>
      <patternFill patternType="solid">
        <fgColor rgb="00F3F7F7"/>
      </patternFill>
    </fill>
    <fill>
      <patternFill patternType="solid">
        <fgColor rgb="00E8EEF5"/>
      </patternFill>
    </fill>
    <fill>
      <patternFill patternType="solid">
        <fgColor rgb="00FFF4CC"/>
      </patternFill>
    </fill>
    <fill>
      <patternFill patternType="solid">
        <fgColor rgb="00D6E6F5"/>
      </patternFill>
    </fill>
    <fill>
      <patternFill patternType="solid">
        <fgColor rgb="00E5F6E8"/>
      </patternFill>
    </fill>
    <fill>
      <patternFill patternType="solid">
        <fgColor rgb="00FDECEC"/>
      </patternFill>
    </fill>
    <fill>
      <patternFill patternType="solid">
        <fgColor rgb="00FEF4E0"/>
      </patternFill>
    </fill>
    <fill>
      <patternFill patternType="solid">
        <fgColor rgb="00E8EEF2"/>
      </patternFill>
    </fill>
  </fills>
  <borders count="2">
    <border>
      <left/>
      <right/>
      <top/>
      <bottom/>
      <diagonal/>
    </border>
    <border>
      <left style="thin">
        <color rgb="00D5DDE5"/>
      </left>
      <right style="thin">
        <color rgb="00D5DDE5"/>
      </right>
      <top style="thin">
        <color rgb="00D5DDE5"/>
      </top>
      <bottom style="thin">
        <color rgb="00D5DDE5"/>
      </bottom>
    </border>
  </borders>
  <cellStyleXfs count="1">
    <xf numFmtId="0" fontId="0" fillId="0" borderId="0"/>
  </cellStyleXfs>
  <cellXfs count="8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center" wrapText="1"/>
    </xf>
    <xf numFmtId="0" fontId="4" fillId="2" borderId="0" applyAlignment="1" pivotButton="0" quotePrefix="0" xfId="0">
      <alignment horizontal="left" vertical="center" wrapText="1"/>
    </xf>
    <xf numFmtId="0" fontId="5" fillId="3" borderId="0" applyAlignment="1" pivotButton="0" quotePrefix="0" xfId="0">
      <alignment vertical="top" wrapText="1"/>
    </xf>
    <xf numFmtId="0" fontId="0" fillId="3" borderId="0" applyAlignment="1" pivotButton="0" quotePrefix="0" xfId="0">
      <alignment vertical="top" wrapText="1"/>
    </xf>
    <xf numFmtId="0" fontId="4" fillId="4" borderId="0" applyAlignment="1" pivotButton="0" quotePrefix="0" xfId="0">
      <alignment horizontal="left" vertical="center" wrapText="1"/>
    </xf>
    <xf numFmtId="0" fontId="5" fillId="5" borderId="0" applyAlignment="1" pivotButton="0" quotePrefix="0" xfId="0">
      <alignment horizontal="left" vertical="center" wrapText="1"/>
    </xf>
    <xf numFmtId="0" fontId="0" fillId="5" borderId="0" applyAlignment="1" pivotButton="0" quotePrefix="0" xfId="0">
      <alignment horizontal="left" vertical="center" wrapText="1"/>
    </xf>
    <xf numFmtId="0" fontId="5" fillId="6" borderId="0" applyAlignment="1" pivotButton="0" quotePrefix="0" xfId="0">
      <alignment horizontal="left" vertical="center" wrapText="1"/>
    </xf>
    <xf numFmtId="0" fontId="0" fillId="6" borderId="0" applyAlignment="1" pivotButton="0" quotePrefix="0" xfId="0">
      <alignment horizontal="left" vertical="center" wrapText="1"/>
    </xf>
    <xf numFmtId="0" fontId="6" fillId="7" borderId="0" applyAlignment="1" pivotButton="0" quotePrefix="0" xfId="0">
      <alignment horizontal="left" vertical="center" wrapText="1"/>
    </xf>
    <xf numFmtId="0" fontId="7" fillId="7" borderId="0" applyAlignment="1" pivotButton="0" quotePrefix="0" xfId="0">
      <alignment horizontal="left" vertical="center" wrapText="1"/>
    </xf>
    <xf numFmtId="0" fontId="0" fillId="7" borderId="0" pivotButton="0" quotePrefix="0" xfId="0"/>
    <xf numFmtId="0" fontId="8" fillId="8" borderId="0" applyAlignment="1" pivotButton="0" quotePrefix="0" xfId="0">
      <alignment horizontal="left" vertical="center" wrapText="1"/>
    </xf>
    <xf numFmtId="0" fontId="7" fillId="8" borderId="0" applyAlignment="1" pivotButton="0" quotePrefix="0" xfId="0">
      <alignment horizontal="left" vertical="center" wrapText="1"/>
    </xf>
    <xf numFmtId="0" fontId="0" fillId="8" borderId="0" pivotButton="0" quotePrefix="0" xfId="0"/>
    <xf numFmtId="0" fontId="9" fillId="9" borderId="0" applyAlignment="1" pivotButton="0" quotePrefix="0" xfId="0">
      <alignment horizontal="left" vertical="center" wrapText="1"/>
    </xf>
    <xf numFmtId="0" fontId="7" fillId="9" borderId="0" applyAlignment="1" pivotButton="0" quotePrefix="0" xfId="0">
      <alignment horizontal="left" vertical="center" wrapText="1"/>
    </xf>
    <xf numFmtId="0" fontId="0" fillId="9" borderId="0" pivotButton="0" quotePrefix="0" xfId="0"/>
    <xf numFmtId="0" fontId="9" fillId="10" borderId="0" applyAlignment="1" pivotButton="0" quotePrefix="0" xfId="0">
      <alignment horizontal="left" vertical="center" wrapText="1"/>
    </xf>
    <xf numFmtId="0" fontId="7" fillId="10" borderId="0" applyAlignment="1" pivotButton="0" quotePrefix="0" xfId="0">
      <alignment horizontal="left" vertical="center" wrapText="1"/>
    </xf>
    <xf numFmtId="0" fontId="0" fillId="10" borderId="0" pivotButton="0" quotePrefix="0" xfId="0"/>
    <xf numFmtId="0" fontId="9" fillId="11" borderId="0" applyAlignment="1" pivotButton="0" quotePrefix="0" xfId="0">
      <alignment horizontal="left" vertical="center" wrapText="1"/>
    </xf>
    <xf numFmtId="0" fontId="7" fillId="11" borderId="0" applyAlignment="1" pivotButton="0" quotePrefix="0" xfId="0">
      <alignment horizontal="left" vertical="center" wrapText="1"/>
    </xf>
    <xf numFmtId="0" fontId="0" fillId="11" borderId="0" pivotButton="0" quotePrefix="0" xfId="0"/>
    <xf numFmtId="0" fontId="9" fillId="12" borderId="0" applyAlignment="1" pivotButton="0" quotePrefix="0" xfId="0">
      <alignment horizontal="left" vertical="center" wrapText="1"/>
    </xf>
    <xf numFmtId="0" fontId="7" fillId="12" borderId="0" applyAlignment="1" pivotButton="0" quotePrefix="0" xfId="0">
      <alignment horizontal="left" vertical="center" wrapText="1"/>
    </xf>
    <xf numFmtId="0" fontId="0" fillId="12" borderId="0" pivotButton="0" quotePrefix="0" xfId="0"/>
    <xf numFmtId="0" fontId="9" fillId="3" borderId="0" applyAlignment="1" pivotButton="0" quotePrefix="0" xfId="0">
      <alignment horizontal="left" vertical="center" wrapText="1"/>
    </xf>
    <xf numFmtId="0" fontId="7" fillId="3" borderId="0" applyAlignment="1" pivotButton="0" quotePrefix="0" xfId="0">
      <alignment horizontal="left" vertical="center" wrapText="1"/>
    </xf>
    <xf numFmtId="0" fontId="0" fillId="3" borderId="0" pivotButton="0" quotePrefix="0" xfId="0"/>
    <xf numFmtId="0" fontId="10" fillId="0" borderId="0" pivotButton="0" quotePrefix="0" xfId="0"/>
    <xf numFmtId="0" fontId="6" fillId="7" borderId="1" applyAlignment="1" pivotButton="0" quotePrefix="0" xfId="0">
      <alignment horizontal="center" vertical="center" wrapText="1"/>
    </xf>
    <xf numFmtId="0" fontId="9" fillId="3" borderId="1" applyAlignment="1" pivotButton="0" quotePrefix="0" xfId="0">
      <alignment horizontal="left" vertical="center" wrapText="1"/>
    </xf>
    <xf numFmtId="0" fontId="8" fillId="8" borderId="1" applyAlignment="1" pivotButton="0" quotePrefix="0" xfId="0">
      <alignment horizontal="center" vertical="center" wrapText="1"/>
    </xf>
    <xf numFmtId="0" fontId="8" fillId="8" borderId="1" applyAlignment="1" pivotButton="0" quotePrefix="0" xfId="0">
      <alignment horizontal="left" vertical="center" wrapText="1"/>
    </xf>
    <xf numFmtId="0" fontId="11" fillId="0" borderId="0" applyAlignment="1" pivotButton="0" quotePrefix="0" xfId="0">
      <alignment vertical="top" wrapText="1"/>
    </xf>
    <xf numFmtId="0" fontId="11" fillId="0" borderId="0" applyAlignment="1" pivotButton="0" quotePrefix="0" xfId="0">
      <alignment horizontal="left" vertical="center" wrapText="1"/>
    </xf>
    <xf numFmtId="0" fontId="9" fillId="7" borderId="0" applyAlignment="1" pivotButton="0" quotePrefix="0" xfId="0">
      <alignment horizontal="left" vertical="center" wrapText="1"/>
    </xf>
    <xf numFmtId="1" fontId="8" fillId="8" borderId="1" applyAlignment="1" pivotButton="0" quotePrefix="0" xfId="0">
      <alignment horizontal="center" vertical="center" wrapText="1"/>
    </xf>
    <xf numFmtId="3" fontId="8" fillId="8" borderId="1" applyAlignment="1" pivotButton="0" quotePrefix="0" xfId="0">
      <alignment horizontal="center" vertical="center" wrapText="1"/>
    </xf>
    <xf numFmtId="0" fontId="12" fillId="4" borderId="0" pivotButton="0" quotePrefix="0" xfId="0"/>
    <xf numFmtId="0" fontId="12" fillId="4" borderId="0" applyAlignment="1" pivotButton="0" quotePrefix="0" xfId="0">
      <alignment horizontal="center" vertical="center" wrapText="1"/>
    </xf>
    <xf numFmtId="0" fontId="0" fillId="4" borderId="0" pivotButton="0" quotePrefix="0" xfId="0"/>
    <xf numFmtId="1" fontId="13" fillId="5" borderId="1" applyAlignment="1" pivotButton="0" quotePrefix="0" xfId="0">
      <alignment horizontal="center" vertical="center" wrapText="1"/>
    </xf>
    <xf numFmtId="0" fontId="9" fillId="13" borderId="0" applyAlignment="1" pivotButton="0" quotePrefix="0" xfId="0">
      <alignment horizontal="left" vertical="center" wrapText="1"/>
    </xf>
    <xf numFmtId="0" fontId="7" fillId="13" borderId="0" applyAlignment="1" pivotButton="0" quotePrefix="0" xfId="0">
      <alignment horizontal="left" vertical="center" wrapText="1"/>
    </xf>
    <xf numFmtId="0" fontId="0" fillId="13" borderId="0" pivotButton="0" quotePrefix="0" xfId="0"/>
    <xf numFmtId="3" fontId="13" fillId="5" borderId="1" applyAlignment="1" pivotButton="0" quotePrefix="0" xfId="0">
      <alignment horizontal="center" vertical="center" wrapText="1"/>
    </xf>
    <xf numFmtId="0" fontId="14" fillId="0" borderId="0" applyAlignment="1" pivotButton="0" quotePrefix="0" xfId="0">
      <alignment horizontal="left" vertical="center" wrapText="1"/>
    </xf>
    <xf numFmtId="0" fontId="12" fillId="2" borderId="1" applyAlignment="1" pivotButton="0" quotePrefix="0" xfId="0">
      <alignment horizontal="center" vertical="center" wrapText="1"/>
    </xf>
    <xf numFmtId="0" fontId="4" fillId="4" borderId="1" applyAlignment="1" pivotButton="0" quotePrefix="0" xfId="0">
      <alignment horizontal="left" vertical="center" wrapText="1"/>
    </xf>
    <xf numFmtId="0" fontId="6"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7" fillId="9" borderId="1" applyAlignment="1" pivotButton="0" quotePrefix="0" xfId="0">
      <alignment horizontal="center" vertical="center" wrapText="1"/>
    </xf>
    <xf numFmtId="0" fontId="9" fillId="9" borderId="1" applyAlignment="1" pivotButton="0" quotePrefix="0" xfId="0">
      <alignment horizontal="left" vertical="top" wrapText="1"/>
    </xf>
    <xf numFmtId="0" fontId="7" fillId="9" borderId="1" applyAlignment="1" pivotButton="0" quotePrefix="0" xfId="0">
      <alignment horizontal="left" vertical="top" wrapText="1"/>
    </xf>
    <xf numFmtId="0" fontId="8" fillId="8" borderId="1" applyAlignment="1" pivotButton="0" quotePrefix="0" xfId="0">
      <alignment horizontal="left" vertical="top" wrapText="1"/>
    </xf>
    <xf numFmtId="0" fontId="6"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7" fillId="13" borderId="1" applyAlignment="1" pivotButton="0" quotePrefix="0" xfId="0">
      <alignment horizontal="center" vertical="center" wrapText="1"/>
    </xf>
    <xf numFmtId="0" fontId="9" fillId="13" borderId="1" applyAlignment="1" pivotButton="0" quotePrefix="0" xfId="0">
      <alignment horizontal="left" vertical="top" wrapText="1"/>
    </xf>
    <xf numFmtId="0" fontId="7" fillId="13" borderId="1" applyAlignment="1" pivotButton="0" quotePrefix="0" xfId="0">
      <alignment horizontal="left" vertical="top" wrapText="1"/>
    </xf>
    <xf numFmtId="0" fontId="15" fillId="0" borderId="0" pivotButton="0" quotePrefix="0" xfId="0"/>
    <xf numFmtId="0" fontId="11" fillId="0" borderId="0" pivotButton="0" quotePrefix="0" xfId="0"/>
    <xf numFmtId="0" fontId="8" fillId="8" borderId="1" pivotButton="0" quotePrefix="0" xfId="0"/>
    <xf numFmtId="0" fontId="0" fillId="8" borderId="1" pivotButton="0" quotePrefix="0" xfId="0"/>
    <xf numFmtId="164" fontId="16" fillId="0" borderId="0" applyAlignment="1" pivotButton="0" quotePrefix="0" xfId="0">
      <alignment horizontal="left" vertical="center" wrapText="1"/>
    </xf>
    <xf numFmtId="0" fontId="17" fillId="0" borderId="0" applyAlignment="1" pivotButton="0" quotePrefix="0" xfId="0">
      <alignment vertical="top" wrapText="1"/>
    </xf>
    <xf numFmtId="0" fontId="18" fillId="5" borderId="1" applyAlignment="1" pivotButton="0" quotePrefix="0" xfId="0">
      <alignment horizontal="left" vertical="center" wrapText="1"/>
    </xf>
    <xf numFmtId="1" fontId="16" fillId="5" borderId="1" applyAlignment="1" pivotButton="0" quotePrefix="0" xfId="0">
      <alignment horizontal="center" vertical="center" wrapText="1"/>
    </xf>
    <xf numFmtId="0" fontId="4" fillId="2" borderId="0" pivotButton="0" quotePrefix="0" xfId="0"/>
    <xf numFmtId="1" fontId="7" fillId="9" borderId="1" applyAlignment="1" pivotButton="0" quotePrefix="0" xfId="0">
      <alignment horizontal="center" vertical="center" wrapText="1"/>
    </xf>
    <xf numFmtId="1" fontId="7" fillId="13" borderId="1" applyAlignment="1" pivotButton="0" quotePrefix="0" xfId="0">
      <alignment horizontal="center" vertical="center" wrapText="1"/>
    </xf>
    <xf numFmtId="0" fontId="12" fillId="2" borderId="1" applyAlignment="1" pivotButton="0" quotePrefix="0" xfId="0">
      <alignment horizontal="left" vertical="center" wrapText="1"/>
    </xf>
    <xf numFmtId="1" fontId="12" fillId="2" borderId="1" applyAlignment="1" pivotButton="0" quotePrefix="0" xfId="0">
      <alignment horizontal="center" vertical="center" wrapText="1"/>
    </xf>
    <xf numFmtId="0" fontId="19" fillId="0" borderId="0" applyAlignment="1" pivotButton="0" quotePrefix="0" xfId="0">
      <alignment horizontal="left" vertical="center" wrapText="1"/>
    </xf>
    <xf numFmtId="0" fontId="8" fillId="8" borderId="1" applyAlignment="1" pivotButton="0" quotePrefix="0" xfId="0">
      <alignment vertical="top" wrapText="1"/>
    </xf>
    <xf numFmtId="0" fontId="4" fillId="4" borderId="0" pivotButton="0" quotePrefix="0" xfId="0"/>
    <xf numFmtId="0" fontId="6" fillId="7" borderId="0" pivotButton="0" quotePrefix="0" xfId="0"/>
    <xf numFmtId="0" fontId="9" fillId="0" borderId="0" applyAlignment="1" pivotButton="0" quotePrefix="0" xfId="0">
      <alignment horizontal="left" vertical="center" wrapText="1"/>
    </xf>
    <xf numFmtId="0" fontId="20" fillId="0" borderId="0" applyAlignment="1" pivotButton="0" quotePrefix="0" xfId="0">
      <alignment horizontal="left" vertical="center" wrapText="1"/>
    </xf>
    <xf numFmtId="0" fontId="21" fillId="0" borderId="0" pivotButton="0" quotePrefix="0" xfId="0"/>
  </cellXfs>
  <cellStyles count="1">
    <cellStyle name="Normal" xfId="0" builtinId="0" hidden="0"/>
  </cellStyles>
  <dxfs count="4">
    <dxf>
      <font>
        <name val="Arial"/>
        <b val="1"/>
        <color rgb="001E7A46"/>
        <sz val="11"/>
      </font>
      <fill>
        <patternFill patternType="solid">
          <fgColor rgb="00E5F6E8"/>
        </patternFill>
      </fill>
    </dxf>
    <dxf>
      <font>
        <name val="Arial"/>
        <b val="1"/>
        <color rgb="009B1C1C"/>
        <sz val="11"/>
      </font>
      <fill>
        <patternFill patternType="solid">
          <fgColor rgb="00FDECEC"/>
        </patternFill>
      </fill>
    </dxf>
    <dxf>
      <font>
        <name val="Arial"/>
        <b val="1"/>
        <color rgb="0092400E"/>
        <sz val="11"/>
      </font>
      <fill>
        <patternFill patternType="solid">
          <fgColor rgb="00FEF4E0"/>
        </patternFill>
      </fill>
    </dxf>
    <dxf>
      <font>
        <name val="Arial"/>
        <color rgb="0052606D"/>
        <sz val="11"/>
      </font>
      <fill>
        <patternFill patternType="solid">
          <fgColor rgb="00F4F6F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6E6E"/>
    <outlinePr summaryBelow="1" summaryRight="1"/>
    <pageSetUpPr fitToPage="1"/>
  </sheetPr>
  <dimension ref="B2:F52"/>
  <sheetViews>
    <sheetView showGridLines="0" view="normal" zoomScale="110" workbookViewId="0">
      <pane xSplit="1" ySplit="5" topLeftCell="B6" activePane="bottomRight" state="frozen"/>
      <selection pane="topRight"/>
      <selection pane="bottomLeft"/>
      <selection pane="bottomRight" activeCell="A1" sqref="A1"/>
    </sheetView>
  </sheetViews>
  <sheetFormatPr baseColWidth="8" defaultRowHeight="18"/>
  <cols>
    <col width="3" customWidth="1" min="1" max="1"/>
    <col width="38" customWidth="1" min="2" max="2"/>
    <col width="28" customWidth="1" min="3" max="3"/>
    <col width="22" customWidth="1" min="4" max="4"/>
    <col width="18" customWidth="1" min="5" max="5"/>
    <col width="36" customWidth="1" min="6" max="6"/>
    <col width="3" customWidth="1" min="7" max="7"/>
  </cols>
  <sheetData>
    <row r="2" ht="18" customHeight="1">
      <c r="B2" s="1" t="inlineStr">
        <is>
          <t>Withholding tax</t>
        </is>
      </c>
    </row>
    <row r="3" ht="28" customHeight="1">
      <c r="B3" s="2" t="inlineStr">
        <is>
          <t>User acceptance test</t>
        </is>
      </c>
    </row>
    <row r="4" ht="32" customHeight="1">
      <c r="B4" s="3" t="inlineStr">
        <is>
          <t>A sign-off for doctor withholding tax, including split payments, doctor balance, and the doctor payment reports.</t>
        </is>
      </c>
    </row>
    <row r="6">
      <c r="B6" s="4" t="inlineStr">
        <is>
          <t>What you are checking</t>
        </is>
      </c>
    </row>
    <row r="7" ht="32" customHeight="1">
      <c r="B7" s="5" t="inlineStr">
        <is>
          <t>This pack checks doctor withholding tax on channeling, and the reports that changed because a payment can now be split.
There are two different percentages. The percentage on the doctor is how many of the selected bookings are paid with tax. The percent on the payment screen, next to Apply All WHT, is the tax rate taken off those bookings. It is not the same number.
Tick Apply All WHT and the whole payment is one taxed receipt. Leave it off and the doctor percentage decides. Earliest bookings are taxed first. If that rounds to none of them, or to all of them, there is still only one receipt. Otherwise there are two: a WHT receipt and a normal doctor-payment receipt. Only the bookings without tax move to a hidden session.
The doctor balance falls by the full fee of both receipts. The cash that leaves the till is the net. The tax is not left on the doctor. It shows on the Withholding Tax Report. DPAY has its own balance and is not changed by this payment.</t>
        </is>
      </c>
      <c r="C7" s="6" t="n"/>
      <c r="D7" s="6" t="n"/>
      <c r="E7" s="6" t="n"/>
      <c r="F7" s="6" t="n"/>
    </row>
    <row r="8" ht="32" customHeight="1">
      <c r="B8" s="6" t="n"/>
      <c r="C8" s="6" t="n"/>
      <c r="D8" s="6" t="n"/>
      <c r="E8" s="6" t="n"/>
      <c r="F8" s="6" t="n"/>
    </row>
    <row r="9" ht="32" customHeight="1">
      <c r="B9" s="6" t="n"/>
      <c r="C9" s="6" t="n"/>
      <c r="D9" s="6" t="n"/>
      <c r="E9" s="6" t="n"/>
      <c r="F9" s="6" t="n"/>
    </row>
    <row r="10" ht="32" customHeight="1">
      <c r="B10" s="6" t="n"/>
      <c r="C10" s="6" t="n"/>
      <c r="D10" s="6" t="n"/>
      <c r="E10" s="6" t="n"/>
      <c r="F10" s="6" t="n"/>
    </row>
    <row r="11" ht="32" customHeight="1">
      <c r="B11" s="6" t="n"/>
      <c r="C11" s="6" t="n"/>
      <c r="D11" s="6" t="n"/>
      <c r="E11" s="6" t="n"/>
      <c r="F11" s="6" t="n"/>
    </row>
    <row r="12" ht="32" customHeight="1">
      <c r="B12" s="6" t="n"/>
      <c r="C12" s="6" t="n"/>
      <c r="D12" s="6" t="n"/>
      <c r="E12" s="6" t="n"/>
      <c r="F12" s="6" t="n"/>
    </row>
    <row r="14">
      <c r="B14" s="7" t="inlineStr">
        <is>
          <t>How to fill this in</t>
        </is>
      </c>
    </row>
    <row r="15" ht="28" customHeight="1">
      <c r="B15" s="8" t="inlineStr">
        <is>
          <t>1    Use the UAT address and the login you were given. You need a cashier with an open shift and enough till, and someone who can open Reports.</t>
        </is>
      </c>
      <c r="C15" s="9" t="n"/>
      <c r="D15" s="9" t="n"/>
      <c r="E15" s="9" t="n"/>
      <c r="F15" s="9" t="n"/>
    </row>
    <row r="16" ht="28" customHeight="1">
      <c r="B16" s="10" t="inlineStr">
        <is>
          <t>2    On How to use, replace the sample figures with the payment you are about to make. Use those results when you check the till, the balance, and the reports.</t>
        </is>
      </c>
      <c r="C16" s="11" t="n"/>
      <c r="D16" s="11" t="n"/>
      <c r="E16" s="11" t="n"/>
      <c r="F16" s="11" t="n"/>
    </row>
    <row r="17" ht="28" customHeight="1">
      <c r="B17" s="8" t="inlineStr">
        <is>
          <t>3    On Test Cases, do the sections in order. Each case says what to set up. Write the rate from the payment screen in the Notes of WHT-07.</t>
        </is>
      </c>
      <c r="C17" s="9" t="n"/>
      <c r="D17" s="9" t="n"/>
      <c r="E17" s="9" t="n"/>
      <c r="F17" s="9" t="n"/>
    </row>
    <row r="18" ht="28" customHeight="1">
      <c r="B18" s="10" t="inlineStr">
        <is>
          <t>4    Type only in the yellow cells. On Test Cases that is Result and Notes. On Sign-off that is your name, date, environment, and comments.</t>
        </is>
      </c>
      <c r="C18" s="11" t="n"/>
      <c r="D18" s="11" t="n"/>
      <c r="E18" s="11" t="n"/>
      <c r="F18" s="11" t="n"/>
    </row>
    <row r="19" ht="28" customHeight="1">
      <c r="B19" s="8" t="inlineStr">
        <is>
          <t>5    Result must be Pass, Fail, Blocked, or Not run. Use the dropdown. If you choose Fail or Blocked, write what you saw in Notes.</t>
        </is>
      </c>
      <c r="C19" s="9" t="n"/>
      <c r="D19" s="9" t="n"/>
      <c r="E19" s="9" t="n"/>
      <c r="F19" s="9" t="n"/>
    </row>
    <row r="20" ht="28" customHeight="1">
      <c r="B20" s="10" t="inlineStr">
        <is>
          <t>6    Open Sign-off when you finish. The counts and the overall result calculate themselves. Do not type over them.</t>
        </is>
      </c>
      <c r="C20" s="11" t="n"/>
      <c r="D20" s="11" t="n"/>
      <c r="E20" s="11" t="n"/>
      <c r="F20" s="11" t="n"/>
    </row>
    <row r="22">
      <c r="B22" s="4" t="inlineStr">
        <is>
          <t>What the colours mean</t>
        </is>
      </c>
    </row>
    <row r="23" ht="20" customHeight="1">
      <c r="B23" s="12" t="inlineStr">
        <is>
          <t>Look</t>
        </is>
      </c>
      <c r="C23" s="13" t="inlineStr">
        <is>
          <t>Meaning</t>
        </is>
      </c>
      <c r="D23" s="14" t="n"/>
      <c r="E23" s="14" t="n"/>
      <c r="F23" s="14" t="n"/>
    </row>
    <row r="24" ht="20" customHeight="1">
      <c r="B24" s="15" t="inlineStr">
        <is>
          <t>Yellow cell, blue text</t>
        </is>
      </c>
      <c r="C24" s="16" t="inlineStr">
        <is>
          <t>Type here. Result, Notes, and the Sign-off details.</t>
        </is>
      </c>
      <c r="D24" s="17" t="n"/>
      <c r="E24" s="17" t="n"/>
      <c r="F24" s="17" t="n"/>
    </row>
    <row r="25" ht="20" customHeight="1">
      <c r="B25" s="18" t="inlineStr">
        <is>
          <t>Shaded row</t>
        </is>
      </c>
      <c r="C25" s="19" t="inlineStr">
        <is>
          <t>A test case. Do not type in the white or blue text.</t>
        </is>
      </c>
      <c r="D25" s="20" t="n"/>
      <c r="E25" s="20" t="n"/>
      <c r="F25" s="20" t="n"/>
    </row>
    <row r="26" ht="20" customHeight="1">
      <c r="B26" s="21" t="inlineStr">
        <is>
          <t>Pass</t>
        </is>
      </c>
      <c r="C26" s="22" t="inlineStr">
        <is>
          <t>It matched the expected result.</t>
        </is>
      </c>
      <c r="D26" s="23" t="n"/>
      <c r="E26" s="23" t="n"/>
      <c r="F26" s="23" t="n"/>
    </row>
    <row r="27" ht="20" customHeight="1">
      <c r="B27" s="24" t="inlineStr">
        <is>
          <t>Fail</t>
        </is>
      </c>
      <c r="C27" s="25" t="inlineStr">
        <is>
          <t>It did not. Write what you saw in Notes.</t>
        </is>
      </c>
      <c r="D27" s="26" t="n"/>
      <c r="E27" s="26" t="n"/>
      <c r="F27" s="26" t="n"/>
    </row>
    <row r="28" ht="20" customHeight="1">
      <c r="B28" s="27" t="inlineStr">
        <is>
          <t>Blocked</t>
        </is>
      </c>
      <c r="C28" s="28" t="inlineStr">
        <is>
          <t>You could not run it. Write why in Notes.</t>
        </is>
      </c>
      <c r="D28" s="29" t="n"/>
      <c r="E28" s="29" t="n"/>
      <c r="F28" s="29" t="n"/>
    </row>
    <row r="29" ht="20" customHeight="1">
      <c r="B29" s="30" t="inlineStr">
        <is>
          <t>Not run</t>
        </is>
      </c>
      <c r="C29" s="31" t="inlineStr">
        <is>
          <t>Left blank, or not started.</t>
        </is>
      </c>
      <c r="D29" s="32" t="n"/>
      <c r="E29" s="32" t="n"/>
      <c r="F29" s="32" t="n"/>
    </row>
    <row r="31">
      <c r="B31" s="33" t="inlineStr">
        <is>
          <t>Example of a filled result  ·  this is not a real test</t>
        </is>
      </c>
    </row>
    <row r="32">
      <c r="B32" s="34" t="inlineStr">
        <is>
          <t>ID</t>
        </is>
      </c>
      <c r="C32" s="34" t="inlineStr">
        <is>
          <t>Test</t>
        </is>
      </c>
      <c r="D32" s="34" t="inlineStr">
        <is>
          <t>Result</t>
        </is>
      </c>
      <c r="E32" s="34" t="inlineStr">
        <is>
          <t>Notes</t>
        </is>
      </c>
    </row>
    <row r="33" ht="22" customHeight="1">
      <c r="B33" s="35" t="inlineStr">
        <is>
          <t>WHT-00</t>
        </is>
      </c>
      <c r="C33" s="35" t="inlineStr">
        <is>
          <t>Example only — do not test this row</t>
        </is>
      </c>
      <c r="D33" s="36" t="inlineStr">
        <is>
          <t>Pass</t>
        </is>
      </c>
      <c r="E33" s="37" t="inlineStr">
        <is>
          <t>Both slips printed. The balance fell by the full fee.</t>
        </is>
      </c>
    </row>
    <row r="35" ht="32" customHeight="1">
      <c r="B35" s="38" t="inlineStr">
        <is>
          <t>Before you start, UAT should have two doctors, unpaid bookings on at least two days and two branches, a till with cash, card, slip, cheque, and e-wallet, and permission for Doctor Payments, Doctor Balance, Consultant Payments, Withholding Tax, and DPAY Doctor Balance. Receipt numbers use the branch code, then CHANN-DOC-WHT/, CHANN-DOC-PAY/, CHANN-DOC-WHT-REF/, or CHANN-DOC-REF/.</t>
        </is>
      </c>
    </row>
    <row r="36" ht="32" customHeight="1"/>
    <row r="37" ht="22" customHeight="1">
      <c r="B37" s="4" t="inlineStr">
        <is>
          <t>Work out this payment before you run it</t>
        </is>
      </c>
    </row>
    <row r="38" ht="32" customHeight="1">
      <c r="B38" s="39" t="inlineStr">
        <is>
          <t>Type the yellow figures from the screen. The results update themselves. The sample numbers are only an example — replace them with the payment you are checking. Percentages are typed as 50 for 50%.</t>
        </is>
      </c>
    </row>
    <row r="40" ht="22" customHeight="1">
      <c r="B40" s="40" t="inlineStr">
        <is>
          <t>Bookings you will pay</t>
        </is>
      </c>
      <c r="C40" s="41" t="n">
        <v>10</v>
      </c>
      <c r="D40" s="39" t="inlineStr">
        <is>
          <t>How many bookings are selected.</t>
        </is>
      </c>
    </row>
    <row r="41" ht="22" customHeight="1">
      <c r="B41" s="40" t="inlineStr">
        <is>
          <t>Doctor WHT percentage</t>
        </is>
      </c>
      <c r="C41" s="41" t="n">
        <v>50</v>
      </c>
      <c r="D41" s="39" t="inlineStr">
        <is>
          <t>The percentage on the doctor, not the tax rate.</t>
        </is>
      </c>
    </row>
    <row r="42" ht="22" customHeight="1">
      <c r="B42" s="40" t="inlineStr">
        <is>
          <t>Tax rate on the payment screen</t>
        </is>
      </c>
      <c r="C42" s="41" t="n">
        <v>5</v>
      </c>
      <c r="D42" s="39" t="inlineStr">
        <is>
          <t>The percent next to Apply All WHT. Type 0 if the tick is off and the doctor percentage rounds to no bookings.</t>
        </is>
      </c>
    </row>
    <row r="43" ht="22" customHeight="1">
      <c r="B43" s="40" t="inlineStr">
        <is>
          <t>Fee of the taxed bookings</t>
        </is>
      </c>
      <c r="C43" s="42" t="n">
        <v>6000</v>
      </c>
      <c r="D43" s="39" t="inlineStr">
        <is>
          <t>When every booking is taxed, put the whole fee here and 0 below. When none are taxed, put 0 here.</t>
        </is>
      </c>
    </row>
    <row r="44" ht="22" customHeight="1">
      <c r="B44" s="40" t="inlineStr">
        <is>
          <t>Fee of the other bookings</t>
        </is>
      </c>
      <c r="C44" s="42" t="n">
        <v>4000</v>
      </c>
      <c r="D44" s="39" t="inlineStr">
        <is>
          <t>When none are taxed, put the whole fee here.</t>
        </is>
      </c>
    </row>
    <row r="46">
      <c r="B46" s="43" t="inlineStr">
        <is>
          <t>Result</t>
        </is>
      </c>
      <c r="C46" s="44" t="inlineStr">
        <is>
          <t>Value</t>
        </is>
      </c>
      <c r="D46" s="43" t="inlineStr">
        <is>
          <t>What to expect</t>
        </is>
      </c>
      <c r="E46" s="45" t="n"/>
      <c r="F46" s="45" t="n"/>
    </row>
    <row r="47" ht="22" customHeight="1">
      <c r="B47" s="18" t="inlineStr">
        <is>
          <t>Bookings with tax</t>
        </is>
      </c>
      <c r="C47" s="46">
        <f>MIN(C40,MAX(0,ROUND(C40*C41/100,0)))</f>
        <v/>
      </c>
      <c r="D47" s="19" t="inlineStr">
        <is>
          <t>Earliest bookings: session date, then start time, then appointment number.</t>
        </is>
      </c>
      <c r="E47" s="20" t="n"/>
      <c r="F47" s="20" t="n"/>
    </row>
    <row r="48" ht="22" customHeight="1">
      <c r="B48" s="47" t="inlineStr">
        <is>
          <t>Bookings without tax</t>
        </is>
      </c>
      <c r="C48" s="46">
        <f>C40-C47</f>
        <v/>
      </c>
      <c r="D48" s="48" t="inlineStr">
        <is>
          <t>These are the ones that move to the hidden session, when there are two receipts.</t>
        </is>
      </c>
      <c r="E48" s="49" t="n"/>
      <c r="F48" s="49" t="n"/>
    </row>
    <row r="49" ht="22" customHeight="1">
      <c r="B49" s="18" t="inlineStr">
        <is>
          <t>Receipts</t>
        </is>
      </c>
      <c r="C49" s="46">
        <f>IF(OR(C47&lt;=0,C47&gt;=C40),1,2)</f>
        <v/>
      </c>
      <c r="D49" s="19" t="inlineStr">
        <is>
          <t>One receipt when none or all of the bookings are taxed. Two when the set is split.</t>
        </is>
      </c>
      <c r="E49" s="20" t="n"/>
      <c r="F49" s="20" t="n"/>
    </row>
    <row r="50" ht="22" customHeight="1">
      <c r="B50" s="47" t="inlineStr">
        <is>
          <t>Tax withheld</t>
        </is>
      </c>
      <c r="C50" s="50">
        <f>IF(C47&lt;=0,0,ROUND(C43*C42/100,0))</f>
        <v/>
      </c>
      <c r="D50" s="48" t="inlineStr">
        <is>
          <t>Taken only from the taxed bookings, at the rate on the screen.</t>
        </is>
      </c>
      <c r="E50" s="49" t="n"/>
      <c r="F50" s="49" t="n"/>
    </row>
    <row r="51" ht="22" customHeight="1">
      <c r="B51" s="18" t="inlineStr">
        <is>
          <t>Cash leaving the till</t>
        </is>
      </c>
      <c r="C51" s="50">
        <f>IF(C47&lt;=0,C44,IF(C47&gt;=C40,C43-C50,C43-C50+C44))</f>
        <v/>
      </c>
      <c r="D51" s="19" t="inlineStr">
        <is>
          <t>Taxed fees minus tax, plus the other fees. This is the net, not the full fee.</t>
        </is>
      </c>
      <c r="E51" s="20" t="n"/>
      <c r="F51" s="20" t="n"/>
    </row>
    <row r="52" ht="22" customHeight="1">
      <c r="B52" s="47" t="inlineStr">
        <is>
          <t>Doctor balance falls by</t>
        </is>
      </c>
      <c r="C52" s="50">
        <f>IF(C47&lt;=0,C44,IF(C47&gt;=C40,C43,C43+C44))</f>
        <v/>
      </c>
      <c r="D52" s="48" t="inlineStr">
        <is>
          <t>The full fee of both receipts. The tax is not left on the doctor.</t>
        </is>
      </c>
      <c r="E52" s="49" t="n"/>
      <c r="F52" s="49" t="n"/>
    </row>
  </sheetData>
  <mergeCells count="36">
    <mergeCell ref="B4:F4"/>
    <mergeCell ref="C23:F23"/>
    <mergeCell ref="B16:F16"/>
    <mergeCell ref="D41:F41"/>
    <mergeCell ref="B3:F3"/>
    <mergeCell ref="D48:F48"/>
    <mergeCell ref="B31:F31"/>
    <mergeCell ref="B22:F22"/>
    <mergeCell ref="D47:F47"/>
    <mergeCell ref="B18:F18"/>
    <mergeCell ref="C28:F28"/>
    <mergeCell ref="D43:F43"/>
    <mergeCell ref="B2:F2"/>
    <mergeCell ref="B14:F14"/>
    <mergeCell ref="C24:F24"/>
    <mergeCell ref="B17:F17"/>
    <mergeCell ref="D42:F42"/>
    <mergeCell ref="D51:F51"/>
    <mergeCell ref="B38:F38"/>
    <mergeCell ref="C26:F26"/>
    <mergeCell ref="B19:F19"/>
    <mergeCell ref="C29:F29"/>
    <mergeCell ref="B37:F37"/>
    <mergeCell ref="D50:F50"/>
    <mergeCell ref="B35:F36"/>
    <mergeCell ref="D44:F44"/>
    <mergeCell ref="C25:F25"/>
    <mergeCell ref="B7:F12"/>
    <mergeCell ref="B6:F6"/>
    <mergeCell ref="B20:F20"/>
    <mergeCell ref="B15:F15"/>
    <mergeCell ref="D46:F46"/>
    <mergeCell ref="D40:F40"/>
    <mergeCell ref="D52:F52"/>
    <mergeCell ref="C27:F27"/>
    <mergeCell ref="D49:F49"/>
  </mergeCells>
  <pageMargins left="0.5" right="0.5" top="0.5" bottom="0.5" header="0.5" footer="0.5"/>
  <pageSetup orientation="landscape" paperSize="9" fitToHeight="0" fitToWidth="1"/>
  <headerFooter>
    <oddHeader>&amp;LWithholding tax</oddHeader>
    <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H39"/>
  <sheetViews>
    <sheetView showGridLines="0" workbookViewId="0">
      <pane ySplit="4" topLeftCell="A5" activePane="bottomLeft" state="frozen"/>
      <selection pane="bottomLeft" activeCell="A1" sqref="A1"/>
    </sheetView>
  </sheetViews>
  <sheetFormatPr baseColWidth="8" defaultRowHeight="18"/>
  <cols>
    <col width="12" customWidth="1" min="1" max="1"/>
    <col width="20" customWidth="1" min="2" max="2"/>
    <col width="14" customWidth="1" min="3" max="3"/>
    <col width="36" customWidth="1" min="4" max="4"/>
    <col width="55" customWidth="1" min="5" max="5"/>
    <col width="55" customWidth="1" min="6" max="6"/>
    <col width="14" customWidth="1" min="7" max="7"/>
    <col width="32" customWidth="1" min="8" max="8"/>
  </cols>
  <sheetData>
    <row r="1" ht="26" customHeight="1">
      <c r="A1" s="51" t="inlineStr">
        <is>
          <t>Withholding tax  ·  test cases</t>
        </is>
      </c>
    </row>
    <row r="2" ht="32" customHeight="1">
      <c r="A2" s="39" t="inlineStr">
        <is>
          <t>Do the sections in order. Yellow cells only: choose a Result, and write Notes when something fails, when you are blocked, or when a case asks you to record a figure. Use How to use to work out the tax, the cash, and the balance before you pay.</t>
        </is>
      </c>
    </row>
    <row r="3" ht="8" customHeight="1"/>
    <row r="4" ht="22" customHeight="1">
      <c r="A4" s="52" t="inlineStr">
        <is>
          <t>ID</t>
        </is>
      </c>
      <c r="B4" s="52" t="inlineStr">
        <is>
          <t>Area</t>
        </is>
      </c>
      <c r="C4" s="52" t="inlineStr">
        <is>
          <t>Who</t>
        </is>
      </c>
      <c r="D4" s="52" t="inlineStr">
        <is>
          <t>Test</t>
        </is>
      </c>
      <c r="E4" s="52" t="inlineStr">
        <is>
          <t>Steps</t>
        </is>
      </c>
      <c r="F4" s="52" t="inlineStr">
        <is>
          <t>Expected result</t>
        </is>
      </c>
      <c r="G4" s="52" t="inlineStr">
        <is>
          <t>Result</t>
        </is>
      </c>
      <c r="H4" s="52" t="inlineStr">
        <is>
          <t>Notes</t>
        </is>
      </c>
    </row>
    <row r="5" ht="24" customHeight="1">
      <c r="A5" s="53" t="inlineStr">
        <is>
          <t>A</t>
        </is>
      </c>
      <c r="B5" s="53" t="n"/>
      <c r="C5" s="53" t="n"/>
      <c r="D5" s="53" t="inlineStr">
        <is>
          <t>A.  Doctor percentage</t>
        </is>
      </c>
      <c r="E5" s="53" t="n"/>
      <c r="F5" s="53" t="n"/>
      <c r="G5" s="53" t="n"/>
      <c r="H5" s="53" t="n"/>
    </row>
    <row r="6" ht="56" customHeight="1">
      <c r="A6" s="54" t="inlineStr">
        <is>
          <t>WHT-01</t>
        </is>
      </c>
      <c r="B6" s="55" t="inlineStr">
        <is>
          <t>Doctor percentage</t>
        </is>
      </c>
      <c r="C6" s="56" t="inlineStr">
        <is>
          <t>Cashier</t>
        </is>
      </c>
      <c r="D6" s="57" t="inlineStr">
        <is>
          <t>Save a doctor percentage</t>
        </is>
      </c>
      <c r="E6" s="58" t="inlineStr">
        <is>
          <t>1. Open the doctor.
2. Set WHT percentage to 50 and save.
3. Open the doctor again.</t>
        </is>
      </c>
      <c r="F6" s="58" t="inlineStr">
        <is>
          <t>50 is saved and still shows. The note on the field says this is the share of bookings paid with tax, and that 0 does not split.</t>
        </is>
      </c>
      <c r="G6" s="36" t="n"/>
      <c r="H6" s="59" t="n"/>
    </row>
    <row r="7" ht="56" customHeight="1">
      <c r="A7" s="60" t="inlineStr">
        <is>
          <t>WHT-02</t>
        </is>
      </c>
      <c r="B7" s="61" t="inlineStr">
        <is>
          <t>Doctor percentage</t>
        </is>
      </c>
      <c r="C7" s="62" t="inlineStr">
        <is>
          <t>Cashier</t>
        </is>
      </c>
      <c r="D7" s="63" t="inlineStr">
        <is>
          <t>Change it, and reject a bad value</t>
        </is>
      </c>
      <c r="E7" s="64" t="inlineStr">
        <is>
          <t>1. Change the percentage and save.
2. Try a number below 0, and a number above 100.
3. Clear the field and save.</t>
        </is>
      </c>
      <c r="F7" s="64" t="inlineStr">
        <is>
          <t>A valid change is saved. Below 0 and above 100 are rejected and not saved. A blank field saves as 0.</t>
        </is>
      </c>
      <c r="G7" s="36" t="n"/>
      <c r="H7" s="59" t="n"/>
    </row>
    <row r="8" ht="56" customHeight="1">
      <c r="A8" s="54" t="inlineStr">
        <is>
          <t>WHT-03</t>
        </is>
      </c>
      <c r="B8" s="55" t="inlineStr">
        <is>
          <t>Doctor percentage</t>
        </is>
      </c>
      <c r="C8" s="56" t="inlineStr">
        <is>
          <t>Cashier</t>
        </is>
      </c>
      <c r="D8" s="57" t="inlineStr">
        <is>
          <t>Two doctors, and an old payment</t>
        </is>
      </c>
      <c r="E8" s="58" t="inlineStr">
        <is>
          <t>1. Give a second doctor a different percentage.
2. Pay the first doctor, then change that doctor's percentage.
3. Open the payment you already made.</t>
        </is>
      </c>
      <c r="F8" s="58" t="inlineStr">
        <is>
          <t>Each doctor keeps their own percentage. Changing it later does not change a payment already made.</t>
        </is>
      </c>
      <c r="G8" s="36" t="n"/>
      <c r="H8" s="59" t="n"/>
    </row>
    <row r="9" ht="24" customHeight="1">
      <c r="A9" s="53" t="inlineStr">
        <is>
          <t>B</t>
        </is>
      </c>
      <c r="B9" s="53" t="n"/>
      <c r="C9" s="53" t="n"/>
      <c r="D9" s="53" t="inlineStr">
        <is>
          <t>B.  How a payment splits</t>
        </is>
      </c>
      <c r="E9" s="53" t="n"/>
      <c r="F9" s="53" t="n"/>
      <c r="G9" s="53" t="n"/>
      <c r="H9" s="53" t="n"/>
    </row>
    <row r="10" ht="56" customHeight="1">
      <c r="A10" s="60" t="inlineStr">
        <is>
          <t>WHT-04</t>
        </is>
      </c>
      <c r="B10" s="61" t="inlineStr">
        <is>
          <t>Payment</t>
        </is>
      </c>
      <c r="C10" s="62" t="inlineStr">
        <is>
          <t>Cashier</t>
        </is>
      </c>
      <c r="D10" s="63" t="inlineStr">
        <is>
          <t>No percentage</t>
        </is>
      </c>
      <c r="E10" s="64" t="inlineStr">
        <is>
          <t>1. Set the doctor to 0%.
2. Leave Apply All WHT unticked.
3. Pay several bookings that have a fee.</t>
        </is>
      </c>
      <c r="F10" s="64" t="inlineStr">
        <is>
          <t>One receipt. No tax. Bookings stay on their session. Nothing moves to a hidden session. The receipt number is the normal doctor-payment series.</t>
        </is>
      </c>
      <c r="G10" s="36" t="n"/>
      <c r="H10" s="59" t="n"/>
    </row>
    <row r="11" ht="56" customHeight="1">
      <c r="A11" s="54" t="inlineStr">
        <is>
          <t>WHT-05</t>
        </is>
      </c>
      <c r="B11" s="55" t="inlineStr">
        <is>
          <t>Payment</t>
        </is>
      </c>
      <c r="C11" s="56" t="inlineStr">
        <is>
          <t>Cashier</t>
        </is>
      </c>
      <c r="D11" s="57" t="inlineStr">
        <is>
          <t>Every booking taxed</t>
        </is>
      </c>
      <c r="E11" s="58" t="inlineStr">
        <is>
          <t>1. Set the doctor to 100%.
2. Leave Apply All WHT unticked.
3. Pay several bookings.</t>
        </is>
      </c>
      <c r="F11" s="58" t="inlineStr">
        <is>
          <t>One receipt, with tax on the full fee. No second receipt. Bookings stay on their session.</t>
        </is>
      </c>
      <c r="G11" s="36" t="n"/>
      <c r="H11" s="59" t="n"/>
    </row>
    <row r="12" ht="56" customHeight="1">
      <c r="A12" s="60" t="inlineStr">
        <is>
          <t>WHT-06</t>
        </is>
      </c>
      <c r="B12" s="61" t="inlineStr">
        <is>
          <t>Payment</t>
        </is>
      </c>
      <c r="C12" s="62" t="inlineStr">
        <is>
          <t>Cashier</t>
        </is>
      </c>
      <c r="D12" s="63" t="inlineStr">
        <is>
          <t>Apply All WHT</t>
        </is>
      </c>
      <c r="E12" s="64" t="inlineStr">
        <is>
          <t>1. Leave the doctor percentage below 100, for example 50.
2. Tick Apply All WHT.
3. Pay several bookings.</t>
        </is>
      </c>
      <c r="F12" s="64" t="inlineStr">
        <is>
          <t>One receipt, with tax on the full fee, even though the doctor percentage is lower. Bookings stay on their session. There is no hidden session.</t>
        </is>
      </c>
      <c r="G12" s="36" t="n"/>
      <c r="H12" s="59" t="n"/>
    </row>
    <row r="13" ht="40" customHeight="1">
      <c r="A13" s="54" t="inlineStr">
        <is>
          <t>WHT-07</t>
        </is>
      </c>
      <c r="B13" s="55" t="inlineStr">
        <is>
          <t>Payment</t>
        </is>
      </c>
      <c r="C13" s="56" t="inlineStr">
        <is>
          <t>Cashier</t>
        </is>
      </c>
      <c r="D13" s="57" t="inlineStr">
        <is>
          <t>Tax rate on screen is zero</t>
        </is>
      </c>
      <c r="E13" s="58" t="inlineStr">
        <is>
          <t>1. Open Make doctor payment.
2. Read the percent next to Apply All WHT.</t>
        </is>
      </c>
      <c r="F13" s="58" t="inlineStr">
        <is>
          <t>If that percent is 0, the tick cannot be turned on and no tax is deducted. If it shows a rate, use that rate for the tax checks below. Write the rate in Notes.</t>
        </is>
      </c>
      <c r="G13" s="36" t="n"/>
      <c r="H13" s="59" t="n"/>
    </row>
    <row r="14" ht="72" customHeight="1">
      <c r="A14" s="60" t="inlineStr">
        <is>
          <t>WHT-08</t>
        </is>
      </c>
      <c r="B14" s="61" t="inlineStr">
        <is>
          <t>Payment</t>
        </is>
      </c>
      <c r="C14" s="62" t="inlineStr">
        <is>
          <t>Cashier</t>
        </is>
      </c>
      <c r="D14" s="63" t="inlineStr">
        <is>
          <t>Different percentages</t>
        </is>
      </c>
      <c r="E14" s="64" t="inlineStr">
        <is>
          <t>1. Use the worked example on How to use, and replace the sample numbers.
2. Pay each of these, with Apply All WHT off, on bookings that all have a fee:
   10 bookings at 50%, 10 at 30%, 3 at 50%, 2 at 25%, 1 at 50%, 1 at 40%.
3. You can reuse the same doctor and change the percentage between payments. Use fresh unpaid bookings each time.</t>
        </is>
      </c>
      <c r="F14" s="64" t="inlineStr">
        <is>
          <t>10 at 50% is 5 taxed and 5 not. 10 at 30% is 3 and 7. 3 at 50% is 2 and 1. 2 at 25% is 1 and 1. 1 at 50% is one taxed receipt and nothing moves. 1 at 40% is one receipt with no tax. The earliest bookings are the taxed ones: session date, then start time, then appointment number. Paying only some bookings uses that smaller count, not the whole session.</t>
        </is>
      </c>
      <c r="G14" s="36" t="n"/>
      <c r="H14" s="59" t="n"/>
    </row>
    <row r="15" ht="56" customHeight="1">
      <c r="A15" s="54" t="inlineStr">
        <is>
          <t>WHT-09</t>
        </is>
      </c>
      <c r="B15" s="55" t="inlineStr">
        <is>
          <t>Payment</t>
        </is>
      </c>
      <c r="C15" s="56" t="inlineStr">
        <is>
          <t>Cashier</t>
        </is>
      </c>
      <c r="D15" s="57" t="inlineStr">
        <is>
          <t>Confirm screen, tax, and the till</t>
        </is>
      </c>
      <c r="E15" s="58" t="inlineStr">
        <is>
          <t>1. On a split, read the confirm screen before you pay.
2. Note the till for that payment method.
3. Pay, then read the till again.</t>
        </is>
      </c>
      <c r="F15" s="58" t="inlineStr">
        <is>
          <t>The screen shows the taxed count, the other count, the tax, and the net. Tax is the screen rate on the taxed bookings only, not on the whole payment. The till falls by the net: taxed fees minus tax, plus the other fees. It does not fall by the full fee.</t>
        </is>
      </c>
      <c r="G15" s="36" t="n"/>
      <c r="H15" s="59" t="n"/>
    </row>
    <row r="16" ht="72" customHeight="1">
      <c r="A16" s="60" t="inlineStr">
        <is>
          <t>WHT-10</t>
        </is>
      </c>
      <c r="B16" s="61" t="inlineStr">
        <is>
          <t>Payment</t>
        </is>
      </c>
      <c r="C16" s="62" t="inlineStr">
        <is>
          <t>Cashier</t>
        </is>
      </c>
      <c r="D16" s="63" t="inlineStr">
        <is>
          <t>Payment methods, and a payment that must not save</t>
        </is>
      </c>
      <c r="E16" s="64" t="inlineStr">
        <is>
          <t>1. Complete a split in cash, then card, slip, cheque, and e-wallet. Use a fresh set of bookings each time.
2. Try a card, slip, or e-wallet with the reference left empty.
3. Try a payment with no open shift, and one where the till does not have enough of that method.
4. Include a booking whose professional fee is already zero or fully refunded, so one side of the split has nothing to pay.</t>
        </is>
      </c>
      <c r="F16" s="64" t="inlineStr">
        <is>
          <t>Each method completes and the reference is stored on both receipts. A missing reference is refused. No shift, or not enough till, saves nothing: no receipt, no balance change, no hidden session. A side with nothing to pay is refused and nothing is saved.</t>
        </is>
      </c>
      <c r="G16" s="36" t="n"/>
      <c r="H16" s="59" t="n"/>
    </row>
    <row r="17" ht="24" customHeight="1">
      <c r="A17" s="53" t="inlineStr">
        <is>
          <t>C</t>
        </is>
      </c>
      <c r="B17" s="53" t="n"/>
      <c r="C17" s="53" t="n"/>
      <c r="D17" s="53" t="inlineStr">
        <is>
          <t>C.  Two receipts</t>
        </is>
      </c>
      <c r="E17" s="53" t="n"/>
      <c r="F17" s="53" t="n"/>
      <c r="G17" s="53" t="n"/>
      <c r="H17" s="53" t="n"/>
    </row>
    <row r="18" ht="56" customHeight="1">
      <c r="A18" s="54" t="inlineStr">
        <is>
          <t>WHT-11</t>
        </is>
      </c>
      <c r="B18" s="55" t="inlineStr">
        <is>
          <t>Receipts</t>
        </is>
      </c>
      <c r="C18" s="56" t="inlineStr">
        <is>
          <t>Cashier</t>
        </is>
      </c>
      <c r="D18" s="57" t="inlineStr">
        <is>
          <t>Both receipts, and the numbers</t>
        </is>
      </c>
      <c r="E18" s="58" t="inlineStr">
        <is>
          <t>1. Note the last doctor-payment number and the last WHT number, if you have one.
2. Make a split.
3. Make another split, then one normal channel receipt, then a doctor payment with no tax.</t>
        </is>
      </c>
      <c r="F18" s="58" t="inlineStr">
        <is>
          <t>The split creates both receipts together. The taxed one is {branch}CHANN-DOC-WHT/ and the other is {branch}CHANN-DOC-PAY/, each 8 digits. The next payment continues its own series. The two series do not reuse or skip each other's numbers. A channel receipt stays on CHANN/ and is not affected. If a payment fails, neither receipt of that pair exists.</t>
        </is>
      </c>
      <c r="G18" s="36" t="n"/>
      <c r="H18" s="59" t="n"/>
    </row>
    <row r="19" ht="56" customHeight="1">
      <c r="A19" s="60" t="inlineStr">
        <is>
          <t>WHT-12</t>
        </is>
      </c>
      <c r="B19" s="61" t="inlineStr">
        <is>
          <t>Receipts</t>
        </is>
      </c>
      <c r="C19" s="62" t="inlineStr">
        <is>
          <t>Cashier</t>
        </is>
      </c>
      <c r="D19" s="63" t="inlineStr">
        <is>
          <t>Print both slips</t>
        </is>
      </c>
      <c r="E19" s="64" t="inlineStr">
        <is>
          <t>1. Print from the payment you just made.
2. Reprint from Doctor Payments.
3. Reprint from Receipt Manager.</t>
        </is>
      </c>
      <c r="F19" s="64" t="inlineStr">
        <is>
          <t>Two slips. The WHT slip is first. Doctor, patients, fees, tax, and net match the confirm screen. Nothing is cut off or overlapping. Reprint shows the same two slips.</t>
        </is>
      </c>
      <c r="G19" s="36" t="n"/>
      <c r="H19" s="59" t="n"/>
    </row>
    <row r="20" ht="24" customHeight="1">
      <c r="A20" s="53" t="inlineStr">
        <is>
          <t>D</t>
        </is>
      </c>
      <c r="B20" s="53" t="n"/>
      <c r="C20" s="53" t="n"/>
      <c r="D20" s="53" t="inlineStr">
        <is>
          <t>D.  Hidden session</t>
        </is>
      </c>
      <c r="E20" s="53" t="n"/>
      <c r="F20" s="53" t="n"/>
      <c r="G20" s="53" t="n"/>
      <c r="H20" s="53" t="n"/>
    </row>
    <row r="21" ht="72" customHeight="1">
      <c r="A21" s="54" t="inlineStr">
        <is>
          <t>WHT-13</t>
        </is>
      </c>
      <c r="B21" s="55" t="inlineStr">
        <is>
          <t>Hidden session</t>
        </is>
      </c>
      <c r="C21" s="56" t="inlineStr">
        <is>
          <t>Cashier</t>
        </is>
      </c>
      <c r="D21" s="57" t="inlineStr">
        <is>
          <t>Only the untaxed bookings move</t>
        </is>
      </c>
      <c r="E21" s="58" t="inlineStr">
        <is>
          <t>1. After a split, open the original session.
2. Look for the taxed bookings and the others.
3. Open Channeling and the normal session list for that doctor and day.
4. Try to edit the hidden session.</t>
        </is>
      </c>
      <c r="F21" s="58" t="inlineStr">
        <is>
          <t>Taxed bookings are still on the original session. The others have left it. Their appointment numbers are unchanged. The hidden session does not appear in the normal session list or on the channel desk. It cannot be edited.</t>
        </is>
      </c>
      <c r="G21" s="36" t="n"/>
      <c r="H21" s="59" t="n"/>
    </row>
    <row r="22" ht="72" customHeight="1">
      <c r="A22" s="60" t="inlineStr">
        <is>
          <t>WHT-14</t>
        </is>
      </c>
      <c r="B22" s="61" t="inlineStr">
        <is>
          <t>Hidden session</t>
        </is>
      </c>
      <c r="C22" s="62" t="inlineStr">
        <is>
          <t>Cashier</t>
        </is>
      </c>
      <c r="D22" s="63" t="inlineStr">
        <is>
          <t>One hidden session per day and branch</t>
        </is>
      </c>
      <c r="E22" s="64" t="inlineStr">
        <is>
          <t>1. Make a second split for the same doctor, branch, and day.
2. Make one for a different day, and one for a different branch.
3. Try a payment where two selected bookings share an appointment number on that day and branch.
4. Try one whose appointment number is already on that day's hidden session.</t>
        </is>
      </c>
      <c r="F22" s="64" t="inlineStr">
        <is>
          <t>The same doctor, branch, and day share one hidden session. A different day or branch gets its own. A repeated appointment number is refused with a clear message, and nothing is saved: no receipts, no balance change.</t>
        </is>
      </c>
      <c r="G22" s="36" t="n"/>
      <c r="H22" s="59" t="n"/>
    </row>
    <row r="23" ht="24" customHeight="1">
      <c r="A23" s="53" t="inlineStr">
        <is>
          <t>E</t>
        </is>
      </c>
      <c r="B23" s="53" t="n"/>
      <c r="C23" s="53" t="n"/>
      <c r="D23" s="53" t="inlineStr">
        <is>
          <t>E.  Cancel</t>
        </is>
      </c>
      <c r="E23" s="53" t="n"/>
      <c r="F23" s="53" t="n"/>
      <c r="G23" s="53" t="n"/>
      <c r="H23" s="53" t="n"/>
    </row>
    <row r="24" ht="56" customHeight="1">
      <c r="A24" s="54" t="inlineStr">
        <is>
          <t>WHT-15</t>
        </is>
      </c>
      <c r="B24" s="55" t="inlineStr">
        <is>
          <t>Cancel</t>
        </is>
      </c>
      <c r="C24" s="56" t="inlineStr">
        <is>
          <t>Cashier</t>
        </is>
      </c>
      <c r="D24" s="57" t="inlineStr">
        <is>
          <t>Cancel the pair</t>
        </is>
      </c>
      <c r="E24" s="58" t="inlineStr">
        <is>
          <t>1. With no shift, try to cancel.
2. Try with an empty reason.
3. Open a shift, cancel from the WHT receipt, then on a new pair cancel from the other receipt.</t>
        </is>
      </c>
      <c r="F24" s="58" t="inlineStr">
        <is>
          <t>No shift, or no reason, does not cancel. Cancel from either receipt cancels both. The WHT cancel number is {branch}CHANN-DOC-WHT-REF/ and the other is {branch}CHANN-DOC-REF/. Each series continues on its own and does not reuse a payment number. Both originals show as canceled and cannot be canceled again.</t>
        </is>
      </c>
      <c r="G24" s="36" t="n"/>
      <c r="H24" s="59" t="n"/>
    </row>
    <row r="25" ht="40" customHeight="1">
      <c r="A25" s="60" t="inlineStr">
        <is>
          <t>WHT-16</t>
        </is>
      </c>
      <c r="B25" s="61" t="inlineStr">
        <is>
          <t>Cancel</t>
        </is>
      </c>
      <c r="C25" s="62" t="inlineStr">
        <is>
          <t>Cashier</t>
        </is>
      </c>
      <c r="D25" s="63" t="inlineStr">
        <is>
          <t>Bookings come back</t>
        </is>
      </c>
      <c r="E25" s="64" t="inlineStr">
        <is>
          <t>1. After cancel, open the original session and try to pay the same bookings again.
2. On another payment, give the original session a new booking with the same appointment number, then try to cancel.</t>
        </is>
      </c>
      <c r="F25" s="64" t="inlineStr">
        <is>
          <t>Bookings are unpaid and can be paid again. Moved bookings are back on the original session with the same appointment number. If that number is now taken, cancel is refused and the payment, receipts, balance, and hidden session stay as they were.</t>
        </is>
      </c>
      <c r="G25" s="36" t="n"/>
      <c r="H25" s="59" t="n"/>
    </row>
    <row r="26" ht="36" customHeight="1">
      <c r="A26" s="54" t="inlineStr">
        <is>
          <t>WHT-17</t>
        </is>
      </c>
      <c r="B26" s="55" t="inlineStr">
        <is>
          <t>Cancel</t>
        </is>
      </c>
      <c r="C26" s="56" t="inlineStr">
        <is>
          <t>Cashier</t>
        </is>
      </c>
      <c r="D26" s="57" t="inlineStr">
        <is>
          <t>Cancel a payment that was one receipt</t>
        </is>
      </c>
      <c r="E26" s="58" t="inlineStr">
        <is>
          <t>1. Cancel a 0% payment, a 100% payment, and an Apply All payment.</t>
        </is>
      </c>
      <c r="F26" s="58" t="inlineStr">
        <is>
          <t>Each creates one cancel receipt only. A 0% payment uses the normal cancel series. A taxed one uses the WHT cancel series. No hidden session is involved.</t>
        </is>
      </c>
      <c r="G26" s="36" t="n"/>
      <c r="H26" s="59" t="n"/>
    </row>
    <row r="27" ht="24" customHeight="1">
      <c r="A27" s="53" t="inlineStr">
        <is>
          <t>F</t>
        </is>
      </c>
      <c r="B27" s="53" t="n"/>
      <c r="C27" s="53" t="n"/>
      <c r="D27" s="53" t="inlineStr">
        <is>
          <t>F.  Doctor balance</t>
        </is>
      </c>
      <c r="E27" s="53" t="n"/>
      <c r="F27" s="53" t="n"/>
      <c r="G27" s="53" t="n"/>
      <c r="H27" s="53" t="n"/>
    </row>
    <row r="28" ht="56" customHeight="1">
      <c r="A28" s="60" t="inlineStr">
        <is>
          <t>WHT-18</t>
        </is>
      </c>
      <c r="B28" s="61" t="inlineStr">
        <is>
          <t>Doctor balance</t>
        </is>
      </c>
      <c r="C28" s="62" t="inlineStr">
        <is>
          <t>Accounts</t>
        </is>
      </c>
      <c r="D28" s="63" t="inlineStr">
        <is>
          <t>Balance before you pay</t>
        </is>
      </c>
      <c r="E28" s="64" t="inlineStr">
        <is>
          <t>1. Open the doctor and note Current cash balance.
2. Open Reports → Doctor Balance for this doctor, as of today.
3. Open the linked account statement.</t>
        </is>
      </c>
      <c r="F28" s="64" t="inlineStr">
        <is>
          <t>The doctor record and Doctor Balance Report show the same figure. Write it in Notes. This is the channeling balance. It is not the DPAY balance.</t>
        </is>
      </c>
      <c r="G28" s="36" t="n"/>
      <c r="H28" s="59" t="n"/>
    </row>
    <row r="29" ht="56" customHeight="1">
      <c r="A29" s="54" t="inlineStr">
        <is>
          <t>WHT-19</t>
        </is>
      </c>
      <c r="B29" s="55" t="inlineStr">
        <is>
          <t>Doctor balance</t>
        </is>
      </c>
      <c r="C29" s="56" t="inlineStr">
        <is>
          <t>Accounts</t>
        </is>
      </c>
      <c r="D29" s="57" t="inlineStr">
        <is>
          <t>Balance after a split</t>
        </is>
      </c>
      <c r="E29" s="58" t="inlineStr">
        <is>
          <t>1. Note the balance, and note a second doctor's balance.
2. Make a split. Use the worked example so you know the full fee and the cash paid.
3. Open the doctor, Doctor Balance as of today, and the second doctor.</t>
        </is>
      </c>
      <c r="F29" s="58" t="inlineStr">
        <is>
          <t>The balance falls by the full fee of both receipts added together, not by the cash the doctor received. Use the worked example on How to use: the doctor balance falls by that sheet's 'Doctor balance falls by', and the till falls by 'Cash leaving the till'. The tax is not still owed to the doctor. The sample on that sheet (fees 6,000 and 4,000, tax rate 5%) falls by 10,000 and the till by 9,700 — only when those are the figures you typed. The other doctor's balance does not change. Write the before and after figures in Notes.</t>
        </is>
      </c>
      <c r="G29" s="36" t="n"/>
      <c r="H29" s="59" t="n"/>
    </row>
    <row r="30" ht="40" customHeight="1">
      <c r="A30" s="60" t="inlineStr">
        <is>
          <t>WHT-20</t>
        </is>
      </c>
      <c r="B30" s="61" t="inlineStr">
        <is>
          <t>Doctor balance</t>
        </is>
      </c>
      <c r="C30" s="62" t="inlineStr">
        <is>
          <t>Accounts</t>
        </is>
      </c>
      <c r="D30" s="63" t="inlineStr">
        <is>
          <t>As-of date and the statement</t>
        </is>
      </c>
      <c r="E30" s="64" t="inlineStr">
        <is>
          <t>1. Run Doctor Balance as of yesterday, then as of today.
2. Open the doctor's account statement and find the payment.</t>
        </is>
      </c>
      <c r="F30" s="64" t="inlineStr">
        <is>
          <t>Yesterday does not include today's payment. Today does. The statement shows one line for each receipt. Each line reduces the balance by that receipt's full fee, not by the cash paid on that slip.</t>
        </is>
      </c>
      <c r="G30" s="36" t="n"/>
      <c r="H30" s="59" t="n"/>
    </row>
    <row r="31" ht="40" customHeight="1">
      <c r="A31" s="54" t="inlineStr">
        <is>
          <t>WHT-21</t>
        </is>
      </c>
      <c r="B31" s="55" t="inlineStr">
        <is>
          <t>Doctor balance</t>
        </is>
      </c>
      <c r="C31" s="56" t="inlineStr">
        <is>
          <t>Accounts</t>
        </is>
      </c>
      <c r="D31" s="57" t="inlineStr">
        <is>
          <t>Balance after cancel</t>
        </is>
      </c>
      <c r="E31" s="58" t="inlineStr">
        <is>
          <t>1. Cancel the split you measured.
2. Open the doctor, Doctor Balance as of today, and the account statement.</t>
        </is>
      </c>
      <c r="F31" s="58" t="inlineStr">
        <is>
          <t>The balance returns to the figure you wrote down before the payment. The statement shows the reversal of both receipts. Neither half of the split is left on the balance.</t>
        </is>
      </c>
      <c r="G31" s="36" t="n"/>
      <c r="H31" s="59" t="n"/>
    </row>
    <row r="32" ht="56" customHeight="1">
      <c r="A32" s="60" t="inlineStr">
        <is>
          <t>WHT-22</t>
        </is>
      </c>
      <c r="B32" s="61" t="inlineStr">
        <is>
          <t>Doctor balance</t>
        </is>
      </c>
      <c r="C32" s="62" t="inlineStr">
        <is>
          <t>Accounts</t>
        </is>
      </c>
      <c r="D32" s="63" t="inlineStr">
        <is>
          <t>Channeling and DPAY stay apart</t>
        </is>
      </c>
      <c r="E32" s="64" t="inlineStr">
        <is>
          <t>1. Note Doctor Balance and DPAY Doctor Balance for the same doctor.
2. Make a channeling split.
3. Separately, make a DPAY doctor payment for that doctor.</t>
        </is>
      </c>
      <c r="F32" s="64" t="inlineStr">
        <is>
          <t>The channeling payment changes Doctor Balance and does not change DPAY Doctor Balance. The DPAY payment changes DPAY Doctor Balance and does not change the channeling balance on the doctor record.</t>
        </is>
      </c>
      <c r="G32" s="36" t="n"/>
      <c r="H32" s="59" t="n"/>
    </row>
    <row r="33" ht="24" customHeight="1">
      <c r="A33" s="53" t="inlineStr">
        <is>
          <t>G</t>
        </is>
      </c>
      <c r="B33" s="53" t="n"/>
      <c r="C33" s="53" t="n"/>
      <c r="D33" s="53" t="inlineStr">
        <is>
          <t>G.  Doctor payment reports</t>
        </is>
      </c>
      <c r="E33" s="53" t="n"/>
      <c r="F33" s="53" t="n"/>
      <c r="G33" s="53" t="n"/>
      <c r="H33" s="53" t="n"/>
    </row>
    <row r="34" ht="56" customHeight="1">
      <c r="A34" s="54" t="inlineStr">
        <is>
          <t>WHT-23</t>
        </is>
      </c>
      <c r="B34" s="55" t="inlineStr">
        <is>
          <t>Payment reports</t>
        </is>
      </c>
      <c r="C34" s="56" t="inlineStr">
        <is>
          <t>Accounts</t>
        </is>
      </c>
      <c r="D34" s="57" t="inlineStr">
        <is>
          <t>Consultant Payments after a split</t>
        </is>
      </c>
      <c r="E34" s="58" t="inlineStr">
        <is>
          <t>1. Open Reports → Consultant Payments.
2. Use the session dates of the bookings, not only the payment date.
3. Find the bookings you just paid.</t>
        </is>
      </c>
      <c r="F34" s="58" t="inlineStr">
        <is>
          <t>One row per booking. Taxed bookings show the CHANN-DOC-WHT receipt. Their tax shares add up to the tax on that receipt. The other bookings show the CHANN-DOC-PAY receipt and zero tax. Net is the fee minus the discount minus that row's tax. Status is Paid. Bookings that moved to the hidden session still appear, on the original session time.</t>
        </is>
      </c>
      <c r="G34" s="36" t="n"/>
      <c r="H34" s="59" t="n"/>
    </row>
    <row r="35" ht="56" customHeight="1">
      <c r="A35" s="60" t="inlineStr">
        <is>
          <t>WHT-24</t>
        </is>
      </c>
      <c r="B35" s="61" t="inlineStr">
        <is>
          <t>Payment reports</t>
        </is>
      </c>
      <c r="C35" s="62" t="inlineStr">
        <is>
          <t>Accounts</t>
        </is>
      </c>
      <c r="D35" s="63" t="inlineStr">
        <is>
          <t>Filters, print, and export</t>
        </is>
      </c>
      <c r="E35" s="64" t="inlineStr">
        <is>
          <t>1. Filter to Paid, then to Due Pay.
2. Filter to this doctor, then to another doctor.
3. Print, and export Excel.</t>
        </is>
      </c>
      <c r="F35" s="64" t="inlineStr">
        <is>
          <t>Paid shows both halves of the split. Due Pay hides them. This doctor does not show the other doctor's bookings. Print and Excel include both receipt numbers and the tax, and the totals match the screen.</t>
        </is>
      </c>
      <c r="G35" s="36" t="n"/>
      <c r="H35" s="59" t="n"/>
    </row>
    <row r="36" ht="40" customHeight="1">
      <c r="A36" s="54" t="inlineStr">
        <is>
          <t>WHT-25</t>
        </is>
      </c>
      <c r="B36" s="55" t="inlineStr">
        <is>
          <t>Payment reports</t>
        </is>
      </c>
      <c r="C36" s="56" t="inlineStr">
        <is>
          <t>Accounts</t>
        </is>
      </c>
      <c r="D36" s="57" t="inlineStr">
        <is>
          <t>Consultant Payments after cancel</t>
        </is>
      </c>
      <c r="E36" s="58" t="inlineStr">
        <is>
          <t>1. Cancel the split.
2. Run Consultant Payments again for the same session dates.</t>
        </is>
      </c>
      <c r="F36" s="58" t="inlineStr">
        <is>
          <t>Those bookings are Due Pay. The receipt number, tax, net adjustment, paid date, and paid-by are clear. They can be paid again, and a new payment shows the new receipt.</t>
        </is>
      </c>
      <c r="G36" s="36" t="n"/>
      <c r="H36" s="59" t="n"/>
    </row>
    <row r="37" ht="56" customHeight="1">
      <c r="A37" s="60" t="inlineStr">
        <is>
          <t>WHT-26</t>
        </is>
      </c>
      <c r="B37" s="61" t="inlineStr">
        <is>
          <t>Payment reports</t>
        </is>
      </c>
      <c r="C37" s="62" t="inlineStr">
        <is>
          <t>Accounts</t>
        </is>
      </c>
      <c r="D37" s="63" t="inlineStr">
        <is>
          <t>Withholding Tax Report</t>
        </is>
      </c>
      <c r="E37" s="64" t="inlineStr">
        <is>
          <t>1. Open Reports → Withholding Tax, detail, for the payment date.
2. Find the split, then a 0% payment, then an Apply All or 100% payment.
3. Filter to this doctor.</t>
        </is>
      </c>
      <c r="F37" s="64" t="inlineStr">
        <is>
          <t>The WHT receipt appears once. The other receipt of the split does not. Amount, tax percent, tax, and net match the slip. A 0% payment does not appear. Apply All and 100% appear as one line for the whole fee. Another doctor's tax is not in this doctor's filter.</t>
        </is>
      </c>
      <c r="G37" s="36" t="n"/>
      <c r="H37" s="59" t="n"/>
    </row>
    <row r="38" ht="56" customHeight="1">
      <c r="A38" s="54" t="inlineStr">
        <is>
          <t>WHT-27</t>
        </is>
      </c>
      <c r="B38" s="55" t="inlineStr">
        <is>
          <t>Payment reports</t>
        </is>
      </c>
      <c r="C38" s="56" t="inlineStr">
        <is>
          <t>Accounts</t>
        </is>
      </c>
      <c r="D38" s="57" t="inlineStr">
        <is>
          <t>Withholding tax after cancel, and the summary</t>
        </is>
      </c>
      <c r="E38" s="58" t="inlineStr">
        <is>
          <t>1. Note the tax total for the period.
2. Cancel the WHT receipt's payment.
3. Run the detail again, then the summary.</t>
        </is>
      </c>
      <c r="F38" s="58" t="inlineStr">
        <is>
          <t>The cancel appears as its own reversing line on the CHANN-DOC-WHT-REF receipt, and the tax total for the period goes back. Summary groups by doctor and tax percent, and its tax matches the detail.</t>
        </is>
      </c>
      <c r="G38" s="36" t="n"/>
      <c r="H38" s="59" t="n"/>
    </row>
    <row r="39" ht="40" customHeight="1">
      <c r="A39" s="60" t="inlineStr">
        <is>
          <t>WHT-28</t>
        </is>
      </c>
      <c r="B39" s="61" t="inlineStr">
        <is>
          <t>Payment reports</t>
        </is>
      </c>
      <c r="C39" s="62" t="inlineStr">
        <is>
          <t>Accounts</t>
        </is>
      </c>
      <c r="D39" s="63" t="inlineStr">
        <is>
          <t>Cashier summary</t>
        </is>
      </c>
      <c r="E39" s="64" t="inlineStr">
        <is>
          <t>1. Open the cashier summary for the shift in which you made a split.
2. Find the doctor-payment lines.</t>
        </is>
      </c>
      <c r="F39" s="64" t="inlineStr">
        <is>
          <t>Both receipts are listed. The cash that left the till is the net, not the full fee. It matches the till movement you noted on the payment.</t>
        </is>
      </c>
      <c r="G39" s="36" t="n"/>
      <c r="H39" s="59" t="n"/>
    </row>
  </sheetData>
  <autoFilter ref="A4:H39"/>
  <mergeCells count="2">
    <mergeCell ref="A2:H2"/>
    <mergeCell ref="A1:H1"/>
  </mergeCells>
  <conditionalFormatting sqref="G5:G39">
    <cfRule type="expression" priority="1" dxfId="0">
      <formula>G5="Pass"</formula>
    </cfRule>
    <cfRule type="expression" priority="2" dxfId="1">
      <formula>G5="Fail"</formula>
    </cfRule>
    <cfRule type="expression" priority="3" dxfId="2">
      <formula>G5="Blocked"</formula>
    </cfRule>
    <cfRule type="expression" priority="4" dxfId="3">
      <formula>G5="Not run"</formula>
    </cfRule>
  </conditionalFormatting>
  <dataValidations count="1">
    <dataValidation sqref="G5:G39" showDropDown="0" showInputMessage="0" showErrorMessage="0" allowBlank="1" errorTitle="Result" error="Choose Pass, Fail, Blocked, or Not run" promptTitle="Result" prompt="Pass, Fail, Blocked, or Not run" type="list">
      <formula1>=Lists!$A$1:$A$4</formula1>
    </dataValidation>
  </dataValidations>
  <pageMargins left="0.4" right="0.4" top="0.5" bottom="0.5" header="0.25" footer="0.25"/>
  <pageSetup orientation="landscape" paperSize="9" scale="70" fitToHeight="0" fitToWidth="1"/>
  <headerFooter>
    <oddHeader/>
    <oddFooter>&amp;LWithholding tax  ·  test cases&amp;RPage &amp;P of &amp;N</oddFooter>
    <evenHeader/>
    <evenFooter/>
    <firstHeader/>
    <firstFooter/>
  </headerFooter>
</worksheet>
</file>

<file path=xl/worksheets/sheet3.xml><?xml version="1.0" encoding="utf-8"?>
<worksheet xmlns="http://schemas.openxmlformats.org/spreadsheetml/2006/main">
  <sheetPr>
    <tabColor rgb="001E7A46"/>
    <outlinePr summaryBelow="1" summaryRight="1"/>
    <pageSetUpPr fitToPage="1"/>
  </sheetPr>
  <dimension ref="A1:G36"/>
  <sheetViews>
    <sheetView showGridLines="0" workbookViewId="0">
      <pane ySplit="3" topLeftCell="A4" activePane="bottomLeft" state="frozen"/>
      <selection pane="bottomLeft" activeCell="A1" sqref="A1"/>
    </sheetView>
  </sheetViews>
  <sheetFormatPr baseColWidth="8" defaultRowHeight="18"/>
  <cols>
    <col width="28" customWidth="1" min="1" max="1"/>
    <col width="16" customWidth="1" min="2" max="2"/>
    <col width="16" customWidth="1" min="3" max="3"/>
    <col width="18" customWidth="1" min="4" max="4"/>
    <col width="18" customWidth="1" min="5" max="5"/>
    <col width="16" customWidth="1" min="6" max="6"/>
    <col width="28" customWidth="1" min="7" max="7"/>
  </cols>
  <sheetData>
    <row r="1" ht="28" customHeight="1">
      <c r="A1" s="65" t="inlineStr">
        <is>
          <t>Sign-off</t>
        </is>
      </c>
    </row>
    <row r="2" ht="20" customHeight="1">
      <c r="A2" s="66" t="inlineStr">
        <is>
          <t>Counts and the overall result come from the Test Cases sheet. Type only in the yellow cells.</t>
        </is>
      </c>
    </row>
    <row r="3" ht="8" customHeight="1"/>
    <row r="4">
      <c r="A4" s="4" t="inlineStr">
        <is>
          <t>Tester</t>
        </is>
      </c>
      <c r="D4" s="4" t="inlineStr">
        <is>
          <t>Overall result</t>
        </is>
      </c>
    </row>
    <row r="5" ht="28" customHeight="1">
      <c r="A5" s="40" t="inlineStr">
        <is>
          <t>Name</t>
        </is>
      </c>
      <c r="B5" s="67" t="n"/>
      <c r="C5" s="68" t="n"/>
      <c r="D5" s="40" t="inlineStr">
        <is>
          <t>Result</t>
        </is>
      </c>
      <c r="E5" s="51">
        <f>IF(D12&gt;0,"Not accepted",IF(F12&gt;0,"Incomplete",IF(E12&gt;0,"Accepted with blockers","Accepted")))</f>
        <v/>
      </c>
    </row>
    <row r="6" ht="22" customHeight="1">
      <c r="A6" s="40" t="inlineStr">
        <is>
          <t>Role</t>
        </is>
      </c>
      <c r="B6" s="67" t="n"/>
      <c r="C6" s="68" t="n"/>
      <c r="D6" s="40" t="inlineStr">
        <is>
          <t>Pass rate</t>
        </is>
      </c>
      <c r="E6" s="69">
        <f>IF(B12=0,"—",C12/B12)</f>
        <v/>
      </c>
    </row>
    <row r="7" ht="22" customHeight="1">
      <c r="A7" s="40" t="inlineStr">
        <is>
          <t>Date tested</t>
        </is>
      </c>
      <c r="B7" s="67" t="n"/>
      <c r="C7" s="68" t="n"/>
      <c r="D7" s="70" t="inlineStr">
        <is>
          <t>Accepted — every case is Pass.
Accepted with blockers — no failures, but at least one case is Blocked.
Incomplete — at least one case is still blank or Not run.
Not accepted — at least one case is Fail.</t>
        </is>
      </c>
    </row>
    <row r="8" ht="22" customHeight="1">
      <c r="A8" s="40" t="inlineStr">
        <is>
          <t>Environment / URL</t>
        </is>
      </c>
      <c r="B8" s="67" t="n"/>
      <c r="C8" s="68" t="n"/>
    </row>
    <row r="9" ht="22" customHeight="1">
      <c r="A9" s="40" t="inlineStr">
        <is>
          <t>Version or build, if you have it</t>
        </is>
      </c>
      <c r="B9" s="67" t="n"/>
      <c r="C9" s="68" t="n"/>
    </row>
    <row r="10" ht="8" customHeight="1"/>
    <row r="11">
      <c r="A11" s="52" t="inlineStr">
        <is>
          <t>Cases</t>
        </is>
      </c>
      <c r="B11" s="52" t="inlineStr">
        <is>
          <t>Total</t>
        </is>
      </c>
      <c r="C11" s="52" t="inlineStr">
        <is>
          <t>Passed</t>
        </is>
      </c>
      <c r="D11" s="52" t="inlineStr">
        <is>
          <t>Failed</t>
        </is>
      </c>
      <c r="E11" s="52" t="inlineStr">
        <is>
          <t>Blocked</t>
        </is>
      </c>
      <c r="F11" s="52" t="inlineStr">
        <is>
          <t>Not run</t>
        </is>
      </c>
    </row>
    <row r="12" ht="26" customHeight="1">
      <c r="A12" s="71" t="inlineStr">
        <is>
          <t>All cases</t>
        </is>
      </c>
      <c r="B12" s="72">
        <f>COUNTIF('Test Cases'!$A$5:$A$39,"*-*")</f>
        <v/>
      </c>
      <c r="C12" s="72">
        <f>COUNTIFS('Test Cases'!$A$5:$A$39,"*-*",'Test Cases'!$G$5:$G$39,"Pass")</f>
        <v/>
      </c>
      <c r="D12" s="72">
        <f>COUNTIFS('Test Cases'!$A$5:$A$39,"*-*",'Test Cases'!$G$5:$G$39,"Fail")</f>
        <v/>
      </c>
      <c r="E12" s="72">
        <f>COUNTIFS('Test Cases'!$A$5:$A$39,"*-*",'Test Cases'!$G$5:$G$39,"Blocked")</f>
        <v/>
      </c>
      <c r="F12" s="72">
        <f>B12-C12-D12-E12</f>
        <v/>
      </c>
    </row>
    <row r="13" ht="8" customHeight="1"/>
    <row r="14">
      <c r="A14" s="73" t="inlineStr">
        <is>
          <t>By area</t>
        </is>
      </c>
    </row>
    <row r="15">
      <c r="A15" s="34" t="inlineStr">
        <is>
          <t>Area</t>
        </is>
      </c>
      <c r="B15" s="34" t="inlineStr">
        <is>
          <t>Cases</t>
        </is>
      </c>
      <c r="C15" s="34" t="inlineStr">
        <is>
          <t>Passed</t>
        </is>
      </c>
      <c r="D15" s="34" t="inlineStr">
        <is>
          <t>Failed</t>
        </is>
      </c>
      <c r="E15" s="34" t="inlineStr">
        <is>
          <t>Blocked</t>
        </is>
      </c>
      <c r="F15" s="34" t="inlineStr">
        <is>
          <t>Not run</t>
        </is>
      </c>
    </row>
    <row r="16" ht="20" customHeight="1">
      <c r="A16" s="55" t="inlineStr">
        <is>
          <t>Doctor percentage</t>
        </is>
      </c>
      <c r="B16" s="74">
        <f>COUNTIFS('Test Cases'!$A$5:$A$39,"*-*",'Test Cases'!$B$5:$B$39,A16)</f>
        <v/>
      </c>
      <c r="C16" s="74">
        <f>COUNTIFS('Test Cases'!$A$5:$A$39,"*-*",'Test Cases'!$B$5:$B$39,A16,'Test Cases'!$G$5:$G$39,"Pass")</f>
        <v/>
      </c>
      <c r="D16" s="74">
        <f>COUNTIFS('Test Cases'!$A$5:$A$39,"*-*",'Test Cases'!$B$5:$B$39,A16,'Test Cases'!$G$5:$G$39,"Fail")</f>
        <v/>
      </c>
      <c r="E16" s="74">
        <f>COUNTIFS('Test Cases'!$A$5:$A$39,"*-*",'Test Cases'!$B$5:$B$39,A16,'Test Cases'!$G$5:$G$39,"Blocked")</f>
        <v/>
      </c>
      <c r="F16" s="74">
        <f>B16-C16-D16-E16</f>
        <v/>
      </c>
    </row>
    <row r="17" ht="20" customHeight="1">
      <c r="A17" s="61" t="inlineStr">
        <is>
          <t>Payment</t>
        </is>
      </c>
      <c r="B17" s="75">
        <f>COUNTIFS('Test Cases'!$A$5:$A$39,"*-*",'Test Cases'!$B$5:$B$39,A17)</f>
        <v/>
      </c>
      <c r="C17" s="75">
        <f>COUNTIFS('Test Cases'!$A$5:$A$39,"*-*",'Test Cases'!$B$5:$B$39,A17,'Test Cases'!$G$5:$G$39,"Pass")</f>
        <v/>
      </c>
      <c r="D17" s="75">
        <f>COUNTIFS('Test Cases'!$A$5:$A$39,"*-*",'Test Cases'!$B$5:$B$39,A17,'Test Cases'!$G$5:$G$39,"Fail")</f>
        <v/>
      </c>
      <c r="E17" s="75">
        <f>COUNTIFS('Test Cases'!$A$5:$A$39,"*-*",'Test Cases'!$B$5:$B$39,A17,'Test Cases'!$G$5:$G$39,"Blocked")</f>
        <v/>
      </c>
      <c r="F17" s="75">
        <f>B17-C17-D17-E17</f>
        <v/>
      </c>
    </row>
    <row r="18" ht="20" customHeight="1">
      <c r="A18" s="55" t="inlineStr">
        <is>
          <t>Receipts</t>
        </is>
      </c>
      <c r="B18" s="74">
        <f>COUNTIFS('Test Cases'!$A$5:$A$39,"*-*",'Test Cases'!$B$5:$B$39,A18)</f>
        <v/>
      </c>
      <c r="C18" s="74">
        <f>COUNTIFS('Test Cases'!$A$5:$A$39,"*-*",'Test Cases'!$B$5:$B$39,A18,'Test Cases'!$G$5:$G$39,"Pass")</f>
        <v/>
      </c>
      <c r="D18" s="74">
        <f>COUNTIFS('Test Cases'!$A$5:$A$39,"*-*",'Test Cases'!$B$5:$B$39,A18,'Test Cases'!$G$5:$G$39,"Fail")</f>
        <v/>
      </c>
      <c r="E18" s="74">
        <f>COUNTIFS('Test Cases'!$A$5:$A$39,"*-*",'Test Cases'!$B$5:$B$39,A18,'Test Cases'!$G$5:$G$39,"Blocked")</f>
        <v/>
      </c>
      <c r="F18" s="74">
        <f>B18-C18-D18-E18</f>
        <v/>
      </c>
    </row>
    <row r="19" ht="20" customHeight="1">
      <c r="A19" s="61" t="inlineStr">
        <is>
          <t>Hidden session</t>
        </is>
      </c>
      <c r="B19" s="75">
        <f>COUNTIFS('Test Cases'!$A$5:$A$39,"*-*",'Test Cases'!$B$5:$B$39,A19)</f>
        <v/>
      </c>
      <c r="C19" s="75">
        <f>COUNTIFS('Test Cases'!$A$5:$A$39,"*-*",'Test Cases'!$B$5:$B$39,A19,'Test Cases'!$G$5:$G$39,"Pass")</f>
        <v/>
      </c>
      <c r="D19" s="75">
        <f>COUNTIFS('Test Cases'!$A$5:$A$39,"*-*",'Test Cases'!$B$5:$B$39,A19,'Test Cases'!$G$5:$G$39,"Fail")</f>
        <v/>
      </c>
      <c r="E19" s="75">
        <f>COUNTIFS('Test Cases'!$A$5:$A$39,"*-*",'Test Cases'!$B$5:$B$39,A19,'Test Cases'!$G$5:$G$39,"Blocked")</f>
        <v/>
      </c>
      <c r="F19" s="75">
        <f>B19-C19-D19-E19</f>
        <v/>
      </c>
    </row>
    <row r="20" ht="20" customHeight="1">
      <c r="A20" s="55" t="inlineStr">
        <is>
          <t>Cancel</t>
        </is>
      </c>
      <c r="B20" s="74">
        <f>COUNTIFS('Test Cases'!$A$5:$A$39,"*-*",'Test Cases'!$B$5:$B$39,A20)</f>
        <v/>
      </c>
      <c r="C20" s="74">
        <f>COUNTIFS('Test Cases'!$A$5:$A$39,"*-*",'Test Cases'!$B$5:$B$39,A20,'Test Cases'!$G$5:$G$39,"Pass")</f>
        <v/>
      </c>
      <c r="D20" s="74">
        <f>COUNTIFS('Test Cases'!$A$5:$A$39,"*-*",'Test Cases'!$B$5:$B$39,A20,'Test Cases'!$G$5:$G$39,"Fail")</f>
        <v/>
      </c>
      <c r="E20" s="74">
        <f>COUNTIFS('Test Cases'!$A$5:$A$39,"*-*",'Test Cases'!$B$5:$B$39,A20,'Test Cases'!$G$5:$G$39,"Blocked")</f>
        <v/>
      </c>
      <c r="F20" s="74">
        <f>B20-C20-D20-E20</f>
        <v/>
      </c>
    </row>
    <row r="21" ht="20" customHeight="1">
      <c r="A21" s="61" t="inlineStr">
        <is>
          <t>Doctor balance</t>
        </is>
      </c>
      <c r="B21" s="75">
        <f>COUNTIFS('Test Cases'!$A$5:$A$39,"*-*",'Test Cases'!$B$5:$B$39,A21)</f>
        <v/>
      </c>
      <c r="C21" s="75">
        <f>COUNTIFS('Test Cases'!$A$5:$A$39,"*-*",'Test Cases'!$B$5:$B$39,A21,'Test Cases'!$G$5:$G$39,"Pass")</f>
        <v/>
      </c>
      <c r="D21" s="75">
        <f>COUNTIFS('Test Cases'!$A$5:$A$39,"*-*",'Test Cases'!$B$5:$B$39,A21,'Test Cases'!$G$5:$G$39,"Fail")</f>
        <v/>
      </c>
      <c r="E21" s="75">
        <f>COUNTIFS('Test Cases'!$A$5:$A$39,"*-*",'Test Cases'!$B$5:$B$39,A21,'Test Cases'!$G$5:$G$39,"Blocked")</f>
        <v/>
      </c>
      <c r="F21" s="75">
        <f>B21-C21-D21-E21</f>
        <v/>
      </c>
    </row>
    <row r="22" ht="20" customHeight="1">
      <c r="A22" s="55" t="inlineStr">
        <is>
          <t>Payment reports</t>
        </is>
      </c>
      <c r="B22" s="74">
        <f>COUNTIFS('Test Cases'!$A$5:$A$39,"*-*",'Test Cases'!$B$5:$B$39,A22)</f>
        <v/>
      </c>
      <c r="C22" s="74">
        <f>COUNTIFS('Test Cases'!$A$5:$A$39,"*-*",'Test Cases'!$B$5:$B$39,A22,'Test Cases'!$G$5:$G$39,"Pass")</f>
        <v/>
      </c>
      <c r="D22" s="74">
        <f>COUNTIFS('Test Cases'!$A$5:$A$39,"*-*",'Test Cases'!$B$5:$B$39,A22,'Test Cases'!$G$5:$G$39,"Fail")</f>
        <v/>
      </c>
      <c r="E22" s="74">
        <f>COUNTIFS('Test Cases'!$A$5:$A$39,"*-*",'Test Cases'!$B$5:$B$39,A22,'Test Cases'!$G$5:$G$39,"Blocked")</f>
        <v/>
      </c>
      <c r="F22" s="74">
        <f>B22-C22-D22-E22</f>
        <v/>
      </c>
    </row>
    <row r="23" ht="22" customHeight="1">
      <c r="A23" s="76" t="inlineStr">
        <is>
          <t>Total</t>
        </is>
      </c>
      <c r="B23" s="77">
        <f>SUM(B16:B22)</f>
        <v/>
      </c>
      <c r="C23" s="77">
        <f>SUM(C16:C22)</f>
        <v/>
      </c>
      <c r="D23" s="77">
        <f>SUM(D16:D22)</f>
        <v/>
      </c>
      <c r="E23" s="77">
        <f>SUM(E16:E22)</f>
        <v/>
      </c>
      <c r="F23" s="77">
        <f>SUM(F16:F22)</f>
        <v/>
      </c>
      <c r="G23" s="78">
        <f>IF(B23=B12,"Totals match","Check the area totals")</f>
        <v/>
      </c>
    </row>
    <row r="25">
      <c r="A25" s="73" t="inlineStr">
        <is>
          <t>Comments</t>
        </is>
      </c>
    </row>
    <row r="26" ht="20" customHeight="1">
      <c r="A26" s="79" t="n"/>
      <c r="B26" s="68" t="n"/>
      <c r="C26" s="68" t="n"/>
      <c r="D26" s="68" t="n"/>
      <c r="E26" s="68" t="n"/>
      <c r="F26" s="68" t="n"/>
    </row>
    <row r="27">
      <c r="A27" s="68" t="n"/>
      <c r="B27" s="68" t="n"/>
      <c r="C27" s="68" t="n"/>
      <c r="D27" s="68" t="n"/>
      <c r="E27" s="68" t="n"/>
      <c r="F27" s="68" t="n"/>
    </row>
    <row r="28">
      <c r="A28" s="68" t="n"/>
      <c r="B28" s="68" t="n"/>
      <c r="C28" s="68" t="n"/>
      <c r="D28" s="68" t="n"/>
      <c r="E28" s="68" t="n"/>
      <c r="F28" s="68" t="n"/>
    </row>
    <row r="29">
      <c r="A29" s="68" t="n"/>
      <c r="B29" s="68" t="n"/>
      <c r="C29" s="68" t="n"/>
      <c r="D29" s="68" t="n"/>
      <c r="E29" s="68" t="n"/>
      <c r="F29" s="68" t="n"/>
    </row>
    <row r="31">
      <c r="A31" s="80" t="inlineStr">
        <is>
          <t>Sign-off</t>
        </is>
      </c>
    </row>
    <row r="32">
      <c r="B32" s="81" t="inlineStr">
        <is>
          <t>Name</t>
        </is>
      </c>
      <c r="D32" s="81" t="inlineStr">
        <is>
          <t>Signature</t>
        </is>
      </c>
      <c r="F32" s="81" t="inlineStr">
        <is>
          <t>Date</t>
        </is>
      </c>
    </row>
    <row r="33" ht="22" customHeight="1">
      <c r="A33" s="82" t="inlineStr">
        <is>
          <t>Tester</t>
        </is>
      </c>
      <c r="B33" s="67" t="n"/>
      <c r="D33" s="67" t="n"/>
      <c r="F33" s="67" t="n"/>
    </row>
    <row r="34" ht="22" customHeight="1">
      <c r="A34" s="82" t="inlineStr">
        <is>
          <t>Reviewer</t>
        </is>
      </c>
      <c r="B34" s="67" t="n"/>
      <c r="D34" s="67" t="n"/>
      <c r="F34" s="67" t="n"/>
    </row>
    <row r="36" ht="28" customHeight="1">
      <c r="A36" s="83" t="inlineStr">
        <is>
          <t>Not run includes any case left blank. Area totals should match the Total row above. A split payment is two receipts, but the doctor balance moves by the full fee of both. The tax is reported on its own.</t>
        </is>
      </c>
    </row>
  </sheetData>
  <mergeCells count="23">
    <mergeCell ref="B7:C7"/>
    <mergeCell ref="D34:E34"/>
    <mergeCell ref="E6:G6"/>
    <mergeCell ref="A14:F14"/>
    <mergeCell ref="D32:E32"/>
    <mergeCell ref="A4:C4"/>
    <mergeCell ref="B8:C8"/>
    <mergeCell ref="A1:G1"/>
    <mergeCell ref="B34:C34"/>
    <mergeCell ref="A31:F31"/>
    <mergeCell ref="B9:C9"/>
    <mergeCell ref="B6:C6"/>
    <mergeCell ref="B33:C33"/>
    <mergeCell ref="A36:F36"/>
    <mergeCell ref="E5:G5"/>
    <mergeCell ref="B5:C5"/>
    <mergeCell ref="D33:E33"/>
    <mergeCell ref="A26:F29"/>
    <mergeCell ref="A2:G2"/>
    <mergeCell ref="B32:C32"/>
    <mergeCell ref="D7:G9"/>
    <mergeCell ref="A25:F25"/>
    <mergeCell ref="D4:G4"/>
  </mergeCells>
  <pageMargins left="0.5" right="0.5" top="0.5" bottom="0.5" header="0.5" footer="0.5"/>
  <pageSetup orientation="landscape" paperSize="9" fitToHeight="1" fitToWidth="1"/>
</worksheet>
</file>

<file path=xl/worksheets/sheet4.xml><?xml version="1.0" encoding="utf-8"?>
<worksheet xmlns="http://schemas.openxmlformats.org/spreadsheetml/2006/main">
  <sheetPr>
    <outlinePr summaryBelow="1" summaryRight="1"/>
    <pageSetUpPr fitToPage="1"/>
  </sheetPr>
  <dimension ref="A1:A4"/>
  <sheetViews>
    <sheetView workbookViewId="0">
      <selection activeCell="A1" sqref="A1"/>
    </sheetView>
  </sheetViews>
  <sheetFormatPr baseColWidth="8" defaultRowHeight="18"/>
  <sheetData>
    <row r="1">
      <c r="A1" s="84" t="inlineStr">
        <is>
          <t>Pass</t>
        </is>
      </c>
    </row>
    <row r="2">
      <c r="A2" s="84" t="inlineStr">
        <is>
          <t>Fail</t>
        </is>
      </c>
    </row>
    <row r="3">
      <c r="A3" s="84" t="inlineStr">
        <is>
          <t>Blocked</t>
        </is>
      </c>
    </row>
    <row r="4">
      <c r="A4" s="84" t="inlineStr">
        <is>
          <t>Not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2026-10-23T03:53:42Z</dcterms:created>
  <dcterms:modified xmlns:dcterms="http://purl.org/dc/terms/" xmlns:xsi="http://www.w3.org/2001/XMLSchema-instance" xsi:type="dcterms:W3CDTF">2026-10-23T03:53:42Z</dcterms:modified>
</cp:coreProperties>
</file>