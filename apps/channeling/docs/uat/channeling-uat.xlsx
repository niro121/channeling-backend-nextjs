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niro/Desktop/Archmage/next/channeling-backend-nextjs/apps/channeling/docs/uat/"/>
    </mc:Choice>
  </mc:AlternateContent>
  <xr:revisionPtr revIDLastSave="0" documentId="11_FBE44F616B9FDC0411574C84D4A49CECFAAEE215" xr6:coauthVersionLast="47" xr6:coauthVersionMax="47" xr10:uidLastSave="{00000000-0000-0000-0000-000000000000}"/>
  <bookViews>
    <workbookView xWindow="0" yWindow="660" windowWidth="30240" windowHeight="17260" activeTab="2" xr2:uid="{00000000-000D-0000-FFFF-FFFF00000000}"/>
  </bookViews>
  <sheets>
    <sheet name="How to use" sheetId="1" r:id="rId1"/>
    <sheet name="Test Cases" sheetId="2" r:id="rId2"/>
    <sheet name="Sign-off" sheetId="3" r:id="rId3"/>
    <sheet name="Lists" sheetId="4" state="hidden" r:id="rId4"/>
  </sheets>
  <definedNames>
    <definedName name="_xlnm._FilterDatabase" localSheetId="1" hidden="1">'Test Cases'!$A$4:$H$97</definedName>
    <definedName name="_xlnm.Print_Area" localSheetId="0">'How to use'!$A$1:$G$33</definedName>
    <definedName name="_xlnm.Print_Area" localSheetId="2">'Sign-off'!$A$1:$G$44</definedName>
    <definedName name="_xlnm.Print_Area" localSheetId="1">'Test Cases'!$A$1:$H$97</definedName>
    <definedName name="_xlnm.Print_Titles" localSheetId="1">'Test Cases'!$1:$4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3" l="1"/>
  <c r="D30" i="3"/>
  <c r="C30" i="3"/>
  <c r="B30" i="3"/>
  <c r="F30" i="3" s="1"/>
  <c r="E29" i="3"/>
  <c r="D29" i="3"/>
  <c r="F29" i="3" s="1"/>
  <c r="C29" i="3"/>
  <c r="B29" i="3"/>
  <c r="E28" i="3"/>
  <c r="D28" i="3"/>
  <c r="C28" i="3"/>
  <c r="B28" i="3"/>
  <c r="F28" i="3" s="1"/>
  <c r="E27" i="3"/>
  <c r="D27" i="3"/>
  <c r="C27" i="3"/>
  <c r="B27" i="3"/>
  <c r="F27" i="3" s="1"/>
  <c r="E26" i="3"/>
  <c r="D26" i="3"/>
  <c r="C26" i="3"/>
  <c r="B26" i="3"/>
  <c r="F26" i="3" s="1"/>
  <c r="E25" i="3"/>
  <c r="D25" i="3"/>
  <c r="C25" i="3"/>
  <c r="B25" i="3"/>
  <c r="F25" i="3" s="1"/>
  <c r="E24" i="3"/>
  <c r="D24" i="3"/>
  <c r="C24" i="3"/>
  <c r="B24" i="3"/>
  <c r="F24" i="3" s="1"/>
  <c r="E23" i="3"/>
  <c r="D23" i="3"/>
  <c r="F23" i="3" s="1"/>
  <c r="C23" i="3"/>
  <c r="B23" i="3"/>
  <c r="E22" i="3"/>
  <c r="D22" i="3"/>
  <c r="C22" i="3"/>
  <c r="B22" i="3"/>
  <c r="F22" i="3" s="1"/>
  <c r="E21" i="3"/>
  <c r="D21" i="3"/>
  <c r="C21" i="3"/>
  <c r="B21" i="3"/>
  <c r="F21" i="3" s="1"/>
  <c r="E20" i="3"/>
  <c r="F20" i="3" s="1"/>
  <c r="D20" i="3"/>
  <c r="C20" i="3"/>
  <c r="B20" i="3"/>
  <c r="E19" i="3"/>
  <c r="D19" i="3"/>
  <c r="C19" i="3"/>
  <c r="B19" i="3"/>
  <c r="F19" i="3" s="1"/>
  <c r="E18" i="3"/>
  <c r="D18" i="3"/>
  <c r="C18" i="3"/>
  <c r="B18" i="3"/>
  <c r="F18" i="3" s="1"/>
  <c r="E17" i="3"/>
  <c r="D17" i="3"/>
  <c r="C17" i="3"/>
  <c r="B17" i="3"/>
  <c r="F17" i="3" s="1"/>
  <c r="E16" i="3"/>
  <c r="E31" i="3" s="1"/>
  <c r="D16" i="3"/>
  <c r="D31" i="3" s="1"/>
  <c r="C16" i="3"/>
  <c r="C31" i="3" s="1"/>
  <c r="B16" i="3"/>
  <c r="E12" i="3"/>
  <c r="D12" i="3"/>
  <c r="C12" i="3"/>
  <c r="B12" i="3"/>
  <c r="B31" i="3" l="1"/>
  <c r="G31" i="3" s="1"/>
  <c r="F16" i="3"/>
  <c r="F31" i="3" s="1"/>
  <c r="E6" i="3"/>
  <c r="F12" i="3"/>
  <c r="E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Channeling UAT</author>
  </authors>
  <commentList>
    <comment ref="G4" authorId="0" shapeId="0" xr:uid="{00000000-0006-0000-0100-000001000000}">
      <text>
        <r>
          <rPr>
            <sz val="11"/>
            <color theme="1"/>
            <rFont val="Calibri"/>
            <family val="2"/>
            <scheme val="minor"/>
          </rPr>
          <t>Choose Pass, Fail, Blocked, or Not run. Yellow cells are the only ones to 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Channeling UAT</author>
  </authors>
  <commentList>
    <comment ref="B7" authorId="0" shapeId="0" xr:uid="{00000000-0006-0000-0200-000001000000}">
      <text>
        <r>
          <rPr>
            <sz val="11"/>
            <color theme="1"/>
            <rFont val="Calibri"/>
            <family val="2"/>
            <scheme val="minor"/>
          </rPr>
          <t>Type the date you tested, for example 05 Oct 2026.</t>
        </r>
      </text>
    </comment>
    <comment ref="A34" authorId="0" shapeId="0" xr:uid="{00000000-0006-0000-0200-000002000000}">
      <text>
        <r>
          <rPr>
            <sz val="11"/>
            <color theme="1"/>
            <rFont val="Calibri"/>
            <family val="2"/>
            <scheme val="minor"/>
          </rPr>
          <t>Write anything the counts do not show: a report with no data, a print that did not open, or a defect number.</t>
        </r>
      </text>
    </comment>
  </commentList>
</comments>
</file>

<file path=xl/sharedStrings.xml><?xml version="1.0" encoding="utf-8"?>
<sst xmlns="http://schemas.openxmlformats.org/spreadsheetml/2006/main" count="641" uniqueCount="443">
  <si>
    <t>Channeling  ·  sign-off</t>
  </si>
  <si>
    <t>Counts and the overall result come from the Test Cases sheet. Type only in the yellow cells.</t>
  </si>
  <si>
    <t>Tester</t>
  </si>
  <si>
    <t>Overall result</t>
  </si>
  <si>
    <t>Name</t>
  </si>
  <si>
    <t>Result</t>
  </si>
  <si>
    <t>Role</t>
  </si>
  <si>
    <t>Pass rate</t>
  </si>
  <si>
    <t>Date tested</t>
  </si>
  <si>
    <t>Accepted — every case is Pass.
Accepted with blockers — no failures, but at least one case is Blocked.
Incomplete — at least one case is still blank or Not run.
Not accepted — at least one case is Fail.</t>
  </si>
  <si>
    <t>Environment / URL</t>
  </si>
  <si>
    <t>Version or build, if you have it</t>
  </si>
  <si>
    <t>Cases</t>
  </si>
  <si>
    <t>Total</t>
  </si>
  <si>
    <t>Passed</t>
  </si>
  <si>
    <t>Failed</t>
  </si>
  <si>
    <t>Blocked</t>
  </si>
  <si>
    <t>Not run</t>
  </si>
  <si>
    <t>All cases</t>
  </si>
  <si>
    <t>By area</t>
  </si>
  <si>
    <t>Area</t>
  </si>
  <si>
    <t>Shift</t>
  </si>
  <si>
    <t>Sessions</t>
  </si>
  <si>
    <t>New booking</t>
  </si>
  <si>
    <t>Settlement</t>
  </si>
  <si>
    <t>Refund</t>
  </si>
  <si>
    <t>Cancel</t>
  </si>
  <si>
    <t>Update &amp; search</t>
  </si>
  <si>
    <t>Transfer</t>
  </si>
  <si>
    <t>Doctor arrival</t>
  </si>
  <si>
    <t>Float</t>
  </si>
  <si>
    <t>Handover</t>
  </si>
  <si>
    <t>Reconciliation</t>
  </si>
  <si>
    <t>Doctor payment</t>
  </si>
  <si>
    <t>Prints</t>
  </si>
  <si>
    <t>Reports</t>
  </si>
  <si>
    <t>Comments</t>
  </si>
  <si>
    <t>Sign-off</t>
  </si>
  <si>
    <t>Signature</t>
  </si>
  <si>
    <t>Date</t>
  </si>
  <si>
    <t>Reviewer</t>
  </si>
  <si>
    <t>Not run includes any case left blank. Area totals should match the Total row above. Prints are the receipts, the float slip, handover, reconciliation, and the nurse, doctor, and phone lists. Reports are every report on the Reports screen, plus SMS Activity from the side menu.</t>
  </si>
  <si>
    <t>Channeling</t>
  </si>
  <si>
    <t>User acceptance test</t>
  </si>
  <si>
    <t>A short sign-off for the channel booking desk. Work through Test Cases, then check Sign-off.</t>
  </si>
  <si>
    <t>What you are checking</t>
  </si>
  <si>
    <t>One pass through a normal day on Channeling: start a shift, book a patient, take payment, settle, refund, cancel, change details, search, transfer, mark the doctor arrived, take a float, pay the doctor, hand the shift over, and reconcile.
Then print every receipt, slip, and session list (section C), and run every report (section D): doctors, channel, agents, cashier, and SMS. Print each report, and download PDF or Excel where those buttons are shown.
Master data (doctors, rooms, staff, agencies, discounts) and the long edge-case list stay in uat-test-cases.csv and the markdown guides in this same folder.</t>
  </si>
  <si>
    <t>How to fill this in</t>
  </si>
  <si>
    <t>1    Use the UAT address and logins you were given. You need two people for float, handover, and reconciliation: a cashier and a bulk cashier.</t>
  </si>
  <si>
    <t>2    On Test Cases, do section A in order. Section B is extra checks. Section C is the prints. Section D is every report. Each case says what to set up, so you can skip one and come back.</t>
  </si>
  <si>
    <t>3    Type only in the yellow cells. On Test Cases that is Result and Notes. On Sign-off that is your name, date, environment, and comments.</t>
  </si>
  <si>
    <t>4    Result must be Pass, Fail, Blocked, or Not run. Use the dropdown. If you choose Fail or Blocked, write what you saw in Notes.</t>
  </si>
  <si>
    <t>5    Open Sign-off when you finish. The counts and the overall result calculate themselves. Do not type over them.</t>
  </si>
  <si>
    <t>What the colours mean</t>
  </si>
  <si>
    <t>Look</t>
  </si>
  <si>
    <t>Meaning</t>
  </si>
  <si>
    <t>When to use it</t>
  </si>
  <si>
    <t>Yellow cell, blue text</t>
  </si>
  <si>
    <t>You fill this in.</t>
  </si>
  <si>
    <t>Shaded row</t>
  </si>
  <si>
    <t>The test itself. Read it. Do not edit it.</t>
  </si>
  <si>
    <t>Pass</t>
  </si>
  <si>
    <t>It worked the way the Expected result says.</t>
  </si>
  <si>
    <t>Fail</t>
  </si>
  <si>
    <t>It did not. Say what happened in Notes.</t>
  </si>
  <si>
    <t>You could not run it (missing data, permission, or user). Say why.</t>
  </si>
  <si>
    <t>You did not try this one.</t>
  </si>
  <si>
    <t>Example of a filled result  ·  this is not a real test</t>
  </si>
  <si>
    <t>ID</t>
  </si>
  <si>
    <t>Notes</t>
  </si>
  <si>
    <t>CH-00</t>
  </si>
  <si>
    <t>Booking saved. Receipt printed. Patient showed as Paid.</t>
  </si>
  <si>
    <t>Before you start, UAT should already have a doctor with a session today, a second session at the same fee (for transfer), a session on leave, an agency with an open book, a room for arrival, and a bulk cashier who can approve a float. Amounts in the steps are examples — use the fee the screen shows.
Other payment types (Staff, Credit Customer, E-wallet) and discounts are in uat-test-cases.csv, not in this short list.</t>
  </si>
  <si>
    <t>Channeling  ·  test cases</t>
  </si>
  <si>
    <t>Section A is the walkthrough — do it in order, with a cashier and a bulk cashier. Section B is extra checks. Section C is every print. Section D is every report. If a date range is empty, widen it before you mark Fail. Yellow cells only: choose a Result, and write Notes when something fails or you are blocked.</t>
  </si>
  <si>
    <t>Who</t>
  </si>
  <si>
    <t>Test</t>
  </si>
  <si>
    <t>Steps</t>
  </si>
  <si>
    <t>Expected result</t>
  </si>
  <si>
    <t>A</t>
  </si>
  <si>
    <t>A.  Walkthrough — do these in order</t>
  </si>
  <si>
    <t>CH-01</t>
  </si>
  <si>
    <t>Cashier</t>
  </si>
  <si>
    <t>Start a shift</t>
  </si>
  <si>
    <t>1. Open Channeling.
2. Start a shift if you do not already have one.</t>
  </si>
  <si>
    <t>The shift is Active. The top bar shows the shift. You can take bookings and payments.</t>
  </si>
  <si>
    <t>CH-02</t>
  </si>
  <si>
    <t>Find today's session</t>
  </si>
  <si>
    <t>1. On Channeling, filter by a doctor and today's date.
2. Open one session.</t>
  </si>
  <si>
    <t>The session list loads and the filters work. You can see the session and its bookings.</t>
  </si>
  <si>
    <t>CH-03</t>
  </si>
  <si>
    <t>Book and pay with cash</t>
  </si>
  <si>
    <t>1. Select today's session.
2. Open New Booking.
3. Payment: Cash.
4. Fill Title, Name, Sex, Phone (10 digits), and Area.
5. Click Book Now.</t>
  </si>
  <si>
    <t>Booking is saved and a receipt is created. The row shows Paid (green). A success message appears and the form clears.</t>
  </si>
  <si>
    <t>CH-04</t>
  </si>
  <si>
    <t>Book on-call, leave unpaid</t>
  </si>
  <si>
    <t>1. Same session.
2. Payment: On Call.
3. Fill the patient fields.
4. Click Book Now.</t>
  </si>
  <si>
    <t>Booking is created as Pending (amber). No receipt yet.</t>
  </si>
  <si>
    <t>CH-05</t>
  </si>
  <si>
    <t>Book and pay by card</t>
  </si>
  <si>
    <t>1. Payment: Card.
2. Select the bank and enter the last 4 digits.
3. Fill the patient fields.
4. Click Book Now.</t>
  </si>
  <si>
    <t>Booking is Paid. The receipt shows the card and the bank.</t>
  </si>
  <si>
    <t>CH-06</t>
  </si>
  <si>
    <t>Book and pay by agency</t>
  </si>
  <si>
    <t>1. Payment: Agent.
2. Select Agency and Book. Enter a 2-digit REF NO.
3. Fill the patient fields.
4. Click Book Now.</t>
  </si>
  <si>
    <t>Booking is Paid. A receipt is created and the agency balance is updated.</t>
  </si>
  <si>
    <t>CH-07</t>
  </si>
  <si>
    <t>Settle the on-call booking with cash</t>
  </si>
  <si>
    <t>1. Select the pending (amber) on-call booking. Create one first if you have none.
2. Open the Settle tab.
3. Payment: Cash.
4. Click Settle Now.</t>
  </si>
  <si>
    <t>Message says Settled. A receipt is created. The booking turns Paid (green).</t>
  </si>
  <si>
    <t>CH-08</t>
  </si>
  <si>
    <t>Settle a pending booking by card</t>
  </si>
  <si>
    <t>1. Create another on-call booking if you need one.
2. Settle tab. Payment: Credit Card.
3. Enter the last 4 digits and the bank.
4. Click Settle Now.</t>
  </si>
  <si>
    <t>Booking becomes Paid. The receipt shows the card and the bank.</t>
  </si>
  <si>
    <t>CH-09</t>
  </si>
  <si>
    <t>Settle a pending booking by slip</t>
  </si>
  <si>
    <t>1. Create another on-call booking if you need one.
2. Settle tab. Payment: Slip.
3. Enter the slip reference and the bank.
4. Click Settle Now.</t>
  </si>
  <si>
    <t>Booking becomes Paid. The receipt shows the slip reference and the bank.</t>
  </si>
  <si>
    <t>CH-10</t>
  </si>
  <si>
    <t>Open a booking that is already paid</t>
  </si>
  <si>
    <t>1. Select a paid (green) booking.
2. Open the Settle tab.</t>
  </si>
  <si>
    <t>Message: Booking already paid. You see the receipt number, amount, method, and date. There is no settle form.</t>
  </si>
  <si>
    <t>CH-11</t>
  </si>
  <si>
    <t>Refund one fee</t>
  </si>
  <si>
    <t>1. Open a paid cash booking.
2. Refund tab. Tick the professional fee only.
3. Enter a reason. Refund as Cash.</t>
  </si>
  <si>
    <t>Message says the refund was recorded. The booking shows a partial refund. A refund receipt is created.</t>
  </si>
  <si>
    <t>CH-12</t>
  </si>
  <si>
    <t>Refund both fees</t>
  </si>
  <si>
    <t>1. Open a different paid booking.
2. Tick both the professional fee and the hospital fee.
3. Enter a reason and refund.</t>
  </si>
  <si>
    <t>A full refund is recorded and a receipt is created.</t>
  </si>
  <si>
    <t>CH-13</t>
  </si>
  <si>
    <t>Cancel a pending booking</t>
  </si>
  <si>
    <t>1. Create an on-call booking, or select one that is still pending.
2. Cancel tab. Enter a reason.
3. Click Cancel Booking.</t>
  </si>
  <si>
    <t>Message says the booking was canceled. Status is Canceled (red). No receipt, because nothing was paid.</t>
  </si>
  <si>
    <t>CH-14</t>
  </si>
  <si>
    <t>Cancel a paid booking</t>
  </si>
  <si>
    <t>1. Select a paid cash booking you have not already refunded.
2. Cancel tab. Enter a reason.
3. Refund as Cash and confirm.</t>
  </si>
  <si>
    <t>Booking is canceled. A refund receipt is created and the till goes down by the refund.</t>
  </si>
  <si>
    <t>CH-15</t>
  </si>
  <si>
    <t>Change the patient name and phone</t>
  </si>
  <si>
    <t>1. Select a booking that is not canceled.
2. Open the Change tab.
3. Edit the name and phone.
4. Click Update Channel Details.</t>
  </si>
  <si>
    <t>A success message appears. The Booking tab shows the new name and phone.</t>
  </si>
  <si>
    <t>CH-16</t>
  </si>
  <si>
    <t>Search and open a booking</t>
  </si>
  <si>
    <t>1. Open the Search tab.
2. Type the patient name or mobile from a booking you made.
3. Click Search, then click the row.</t>
  </si>
  <si>
    <t>Matching bookings are listed. The row selects that doctor, session, and booking, and opens the Booking tab.</t>
  </si>
  <si>
    <t>CH-17</t>
  </si>
  <si>
    <t>Move a booking to another session</t>
  </si>
  <si>
    <t>1. Select a booking that is not refunded or canceled.
2. Transfer tab. Choose the same doctor and another session with the same price.
3. Enter remarks. Click Transfer Now.</t>
  </si>
  <si>
    <t>Success message. The booking is on the new session. The transfer form clears.</t>
  </si>
  <si>
    <t>CH-18</t>
  </si>
  <si>
    <t>Mark arrival, then departure</t>
  </si>
  <si>
    <t>1. Select today's session.
2. Arrival tab. Choose a room.
3. Set Doctor Arrival.
4. Then Set Doctor Departure.</t>
  </si>
  <si>
    <t>Arrival time is saved. After you depart, the departure time is saved. This is only allowed for today's session.</t>
  </si>
  <si>
    <t>CH-19</t>
  </si>
  <si>
    <t>Request a float</t>
  </si>
  <si>
    <t>1. With the shift still active, open Request Float.
2. Select the bulk cashier.
3. Enter notes, for example 5000 x 2.
4. Submit.</t>
  </si>
  <si>
    <t>The request is Pending. The top bar says the float request is pending.</t>
  </si>
  <si>
    <t>CH-20</t>
  </si>
  <si>
    <t>Bulk cashier</t>
  </si>
  <si>
    <t>Approve the float and print the slip</t>
  </si>
  <si>
    <t>1. Sign in as the bulk cashier named on the request.
2. Open Bulk Cashier and the pending request.
3. Match the request, choose the source cash account, and approve.</t>
  </si>
  <si>
    <t>Status is Approved. A slip prints with a 4-digit code and a QR code.</t>
  </si>
  <si>
    <t>CH-21</t>
  </si>
  <si>
    <t>Receive the float</t>
  </si>
  <si>
    <t>1. Back as the cashier, open Receive float.
2. Enter the 4-digit code from the slip.
3. Confirm.</t>
  </si>
  <si>
    <t>Status is Received. The float balance goes up. A journal entry is created.</t>
  </si>
  <si>
    <t>CH-22</t>
  </si>
  <si>
    <t>Pay the doctor</t>
  </si>
  <si>
    <t>1. While the shift is still active, go to Doctor Payments, then Make Doctor Payment.
2. Pick a doctor and a date range. Load sessions.
3. Select sessions and at least one booking that is not already paid to the doctor.
4. Pay with Cash.</t>
  </si>
  <si>
    <t>A success message shows a receipt number. Those bookings are marked doctor-paid. The till goes down.</t>
  </si>
  <si>
    <t>CH-23</t>
  </si>
  <si>
    <t>Cancel that doctor payment</t>
  </si>
  <si>
    <t>1. On the Doctor Payments list, open the receipt from the previous case.
2. Cancel it and enter a reason.</t>
  </si>
  <si>
    <t>Message says the payment was canceled and a reversal receipt was created. Those bookings are no longer doctor-paid.</t>
  </si>
  <si>
    <t>CH-24</t>
  </si>
  <si>
    <t>End the shift and hand over</t>
  </si>
  <si>
    <t>1. Confirm there is no pending float request.
2. Open End shift.
3. Enter the amounts you are handing over, including any card or slip takings.
4. Choose another user as the recipient. Confirm.</t>
  </si>
  <si>
    <t>Handover is submitted. Your shift shows Handover pending. The recipient sees it under Handed over to me.</t>
  </si>
  <si>
    <t>CH-25</t>
  </si>
  <si>
    <t>Approve the handover and send it to reconciliation</t>
  </si>
  <si>
    <t>1. As the recipient, open Handed over to me.
2. Open the pending handover and tick every line.
3. Approve and Receive. Tick Send to reconciliation if you have that permission.</t>
  </si>
  <si>
    <t>Handover is approved and the cashier's shift ends. Money moves to the recipient's till. With Send to reconciliation ticked, it appears on the Reconciliation tab.</t>
  </si>
  <si>
    <t>CH-26</t>
  </si>
  <si>
    <t>Match the receipts and submit</t>
  </si>
  <si>
    <t>1. Open Reconciliation.
2. Open the handover from the previous case.
3. On each method tab (card, slip, and so on), tick receipts until the ticked total matches the target.
4. Submit as reconciled.</t>
  </si>
  <si>
    <t>The handover moves to the Approved tab. Receipts are marked reconciled. A journal entry moves the amount from the till to the branch Reconciled account.</t>
  </si>
  <si>
    <t>B</t>
  </si>
  <si>
    <t>B.  Extra checks — do these any time</t>
  </si>
  <si>
    <t>CH-27</t>
  </si>
  <si>
    <t>Required patient fields</t>
  </si>
  <si>
    <t>1. Open New Booking on today's session.
2. Leave Name, Title, Sex, Phone, or Area empty and click Book Now.
3. Then enter a phone that is not 10 digits and try again.</t>
  </si>
  <si>
    <t>The booking is not saved. A message asks for the missing fields, or says the phone must be 10 digits.</t>
  </si>
  <si>
    <t>CH-28</t>
  </si>
  <si>
    <t>Doctor on leave — no new booking</t>
  </si>
  <si>
    <t>1. Open a session where the doctor is on leave.
2. Try to create a booking.</t>
  </si>
  <si>
    <t>Booking is blocked. A message says the doctor is on leave.</t>
  </si>
  <si>
    <t>CH-29</t>
  </si>
  <si>
    <t>Doctor on leave — no settlement</t>
  </si>
  <si>
    <t>1. On a leave session, select a pending booking.
2. Open the Settle tab.</t>
  </si>
  <si>
    <t>Message: Doctor is on leave for this session. Settlement is not allowed. No form.</t>
  </si>
  <si>
    <t>CH-30</t>
  </si>
  <si>
    <t>Refund needs a reason</t>
  </si>
  <si>
    <t>1. Open a paid booking. Refund tab.
2. Tick a fee and leave the reason empty.
3. Click Refund.</t>
  </si>
  <si>
    <t>A message asks for a reason. The refund is not saved.</t>
  </si>
  <si>
    <t>CH-31</t>
  </si>
  <si>
    <t>Cannot refund the same booking twice</t>
  </si>
  <si>
    <t>1. Open a booking you already refunded in full.
2. Open the Refund tab.</t>
  </si>
  <si>
    <t>Refund details are shown. There is no refund form, and you cannot refund it again.</t>
  </si>
  <si>
    <t>CH-32</t>
  </si>
  <si>
    <t>Cancel needs a reason</t>
  </si>
  <si>
    <t>1. Select a booking you are allowed to cancel.
2. Leave the reason empty.
3. Click Cancel Booking.</t>
  </si>
  <si>
    <t>A message asks for a reason. The booking stays as it was.</t>
  </si>
  <si>
    <t>CH-33</t>
  </si>
  <si>
    <t>Transfer needs remarks</t>
  </si>
  <si>
    <t>1. Select a booking.
2. Choose a valid target session.
3. Leave remarks empty and click Transfer Now.</t>
  </si>
  <si>
    <t>Message: Transfer remarks are required. The booking stays on the original session.</t>
  </si>
  <si>
    <t>CH-34</t>
  </si>
  <si>
    <t>A zero float is rejected</t>
  </si>
  <si>
    <t>1. Open Request Float.
2. Leave every denomination at zero.
3. Submit.</t>
  </si>
  <si>
    <t>Message: the total must be greater than zero. No request is created.</t>
  </si>
  <si>
    <t>CH-35</t>
  </si>
  <si>
    <t>Reject a float request</t>
  </si>
  <si>
    <t>1. As the cashier, send a new float request.
2. As the assigned bulk cashier, open it, enter a reason, and reject it.</t>
  </si>
  <si>
    <t>Status is Rejected. The cashier can see that. No journal entry is created.</t>
  </si>
  <si>
    <t>CH-36</t>
  </si>
  <si>
    <t>You cannot hand over to yourself</t>
  </si>
  <si>
    <t>1. Start a shift if you need one.
2. Open End shift and select yourself as the recipient.
3. Try to confirm.</t>
  </si>
  <si>
    <t>Message: handover cannot be to yourself. Nothing is submitted.</t>
  </si>
  <si>
    <t>CH-37</t>
  </si>
  <si>
    <t>A pending float blocks the end of the shift</t>
  </si>
  <si>
    <t>1. With an active shift, send a float request and leave it pending.
2. Open End shift.
3. Cancel or finish the float afterwards so you are not stuck.</t>
  </si>
  <si>
    <t>An alert says a float request is pending. You cannot go on to handover until it is finished or cancelled.</t>
  </si>
  <si>
    <t>CH-38</t>
  </si>
  <si>
    <t>Reject a handover</t>
  </si>
  <si>
    <t>1. Cashier: end a shift and hand it to the bulk cashier. Do not tick Send to reconciliation.
2. Recipient: open it, click Reject, and enter a reason.</t>
  </si>
  <si>
    <t>Handover is rejected. The cashier's shift goes back to Active. No journal entry. The cashier can see the reason.</t>
  </si>
  <si>
    <t>CH-39</t>
  </si>
  <si>
    <t>Reject a reconciliation</t>
  </si>
  <si>
    <t>1. Approve a handover and send it to reconciliation.
2. Open it on the Reconciliation tab.
3. Reject reconciliation and enter a reason.</t>
  </si>
  <si>
    <t>It moves to the Rejected tab and the reason is stored. No journal entry. The till does not change.</t>
  </si>
  <si>
    <t>CH-40</t>
  </si>
  <si>
    <t>No booking without an active shift</t>
  </si>
  <si>
    <t>1. Pause the shift, or use a login with no shift.
2. Try to create a booking and click Book Now.
3. Resume the shift when you are done.</t>
  </si>
  <si>
    <t>The booking is blocked. A message says an active shift is required. No booking is created.</t>
  </si>
  <si>
    <t>C</t>
  </si>
  <si>
    <t>C.  Prints — receipts, slips, session lists</t>
  </si>
  <si>
    <t>PR-01</t>
  </si>
  <si>
    <t>Booking receipt</t>
  </si>
  <si>
    <t>1. Open a paid booking.
2. On the Booking tab, click Print Receipt.</t>
  </si>
  <si>
    <t>A receipt opens for printing. It shows the patient, doctor, session, amount, and receipt number, and it matches the booking on screen.</t>
  </si>
  <si>
    <t>PR-02</t>
  </si>
  <si>
    <t>Settlement receipt</t>
  </si>
  <si>
    <t>1. Open a booking you settled.
2. On the Settle tab, click Print Receipt.</t>
  </si>
  <si>
    <t>The settlement receipt shows the amount, the payment method, and the receipt number.</t>
  </si>
  <si>
    <t>PR-03</t>
  </si>
  <si>
    <t>Refund receipt</t>
  </si>
  <si>
    <t>1. Open a booking you refunded or canceled after payment.
2. Click Print Receipt on the refund or cancel details.</t>
  </si>
  <si>
    <t>The receipt shows the refunded fees, the method, and the receipt number. A pending booking that was canceled with nothing paid has no receipt — that is correct.</t>
  </si>
  <si>
    <t>PR-04</t>
  </si>
  <si>
    <t>Doctor payment receipt</t>
  </si>
  <si>
    <t>1. On Doctor Payments, open a payment.
2. Click View or Print.
3. Open a canceled payment as well, if you have one.</t>
  </si>
  <si>
    <t>The receipt shows the doctor, the bookings, and the amount. A canceled payment can print both the original and the reversal.</t>
  </si>
  <si>
    <t>PR-05</t>
  </si>
  <si>
    <t>Float slip</t>
  </si>
  <si>
    <t>1. Approve a float, or open a request that is already approved.
2. Click Print slip.</t>
  </si>
  <si>
    <t>The slip shows the 4-digit code, a QR code, the denominations, who requested it, and who approved it.</t>
  </si>
  <si>
    <t>PR-06</t>
  </si>
  <si>
    <t>1. Open a handover from Handed over to me.
2. Click Print.</t>
  </si>
  <si>
    <t>The printout shows who handed over, the amounts by method, and the shift. It matches the screen.</t>
  </si>
  <si>
    <t>PR-07</t>
  </si>
  <si>
    <t>1. Open a reconciliation document.
2. Click Print.</t>
  </si>
  <si>
    <t>The printout shows the handover, the method totals, and the receipts that were ticked.</t>
  </si>
  <si>
    <t>PR-08</t>
  </si>
  <si>
    <t>Ledger receipt</t>
  </si>
  <si>
    <t>1. Open a ledger receipt, such as an agency deposit or another till receipt.
2. Click Print Receipt.</t>
  </si>
  <si>
    <t>The receipt shows the amount, the method, and the receipt number.</t>
  </si>
  <si>
    <t>PR-09</t>
  </si>
  <si>
    <t>Nurse view</t>
  </si>
  <si>
    <t>1. On Channeling, select today's session.
2. Click Nurse View.
3. Print.</t>
  </si>
  <si>
    <t>The nurse list for that session opens. Appointment numbers and patient names match the session. The print has the hospital header.</t>
  </si>
  <si>
    <t>PR-10</t>
  </si>
  <si>
    <t>Doctor view</t>
  </si>
  <si>
    <t>1. On the same session, click Doctor View.
2. Print.</t>
  </si>
  <si>
    <t>The doctor's list for that session opens and prints. It matches the bookings on the session.</t>
  </si>
  <si>
    <t>PR-11</t>
  </si>
  <si>
    <t>Phone view</t>
  </si>
  <si>
    <t>1. On the same session, click Phone View.
2. Print.</t>
  </si>
  <si>
    <t>The phone list for that session opens and prints, with the hospital header.</t>
  </si>
  <si>
    <t>D</t>
  </si>
  <si>
    <t>D.  Reports — run each one, then print</t>
  </si>
  <si>
    <t>RPT-01</t>
  </si>
  <si>
    <t>Doctor Arrival Report</t>
  </si>
  <si>
    <t>1. Go to Reports and open Doctor Arrival Report.
2. Set today, or a date that has arrivals.
3. Run the report.
4. Click Print. If PDF or Excel is on the page, download those too.</t>
  </si>
  <si>
    <t>Arrivals for that date are listed. Print has the hospital header and matches the screen. PDF and Excel, where those buttons are shown, match the same figures.</t>
  </si>
  <si>
    <t>RPT-02</t>
  </si>
  <si>
    <t>All Doctor View</t>
  </si>
  <si>
    <t>1. Go to Reports and open All Doctor View.
2. Set the date and session time. You can also open this from a selected session with the All Doctor View button.
3. Run the report.
4. Click Print. If PDF or Excel is on the page, download those too.</t>
  </si>
  <si>
    <t>Bookings are grouped by doctor and session time. Print has the hospital header and matches the screen. PDF and Excel, where those buttons are shown, match the same figures.</t>
  </si>
  <si>
    <t>RPT-03</t>
  </si>
  <si>
    <t>Doctor Leave</t>
  </si>
  <si>
    <t>1. Go to Reports and open Doctor Leave.
2. Set a date range. Filter by branch, department, speciality, or doctor if you want.
3. Run the report.
4. Click Print. If PDF or Excel is on the page, download those too.</t>
  </si>
  <si>
    <t>Leave records for that range are listed. Print has the hospital header and matches the screen. PDF and Excel, where those buttons are shown, match the same figures.</t>
  </si>
  <si>
    <t>RPT-04</t>
  </si>
  <si>
    <t>Doctor Appointment Count Report (By Session Date)</t>
  </si>
  <si>
    <t>1. Go to Reports and open Doctor Appointment Count Report (By Session Date).
2. Set a session-date range.
3. Run the report.
4. Click Print. If PDF or Excel is on the page, download those too.</t>
  </si>
  <si>
    <t>Counts are by session date and match the bookings in that range. Print has the hospital header and matches the screen. PDF and Excel, where those buttons are shown, match the same figures.</t>
  </si>
  <si>
    <t>RPT-05</t>
  </si>
  <si>
    <t>Doctor Balance Report</t>
  </si>
  <si>
    <t>1. Go to Reports and open Doctor Balance Report.
2. Pick an as-of date. Filter by doctor, speciality, or status if you want.
3. Run the report.
4. Click Print. If PDF or Excel is on the page, download those too.</t>
  </si>
  <si>
    <t>Each doctor's payable balance is shown as of that date. Print has the hospital header and matches the screen. PDF and Excel, where those buttons are shown, match the same figures.</t>
  </si>
  <si>
    <t>RPT-06</t>
  </si>
  <si>
    <t>Channel Patient Count (Accounting Wise)</t>
  </si>
  <si>
    <t>1. Go to Reports and open Channel Patient Count (Accounting Wise).
2. Set a date range and a branch.
3. Run the report.
4. Click Print. If PDF or Excel is on the page, download those too.</t>
  </si>
  <si>
    <t>Booking counts and the fee summary are shown for that branch and range. Print has the hospital header and matches the screen. PDF and Excel, where those buttons are shown, match the same figures.</t>
  </si>
  <si>
    <t>RPT-07</t>
  </si>
  <si>
    <t>Channel Income Report (Accounting Wise)</t>
  </si>
  <si>
    <t>1. Go to Reports and open Channel Income Report (Accounting Wise).
2. Set a date range.
3. Run the report.
4. Click Print. If PDF or Excel is on the page, download those too.</t>
  </si>
  <si>
    <t>Income is grouped by channel type. Print has the hospital header and matches the screen. PDF and Excel, where those buttons are shown, match the same figures.</t>
  </si>
  <si>
    <t>RPT-08</t>
  </si>
  <si>
    <t>Channel Discount Report</t>
  </si>
  <si>
    <t>1. Go to Reports and open Channel Discount Report.
2. Set a date range that includes a discounted booking, if you have one.
3. Run the report.
4. Click Print. If PDF or Excel is on the page, download those too.</t>
  </si>
  <si>
    <t>Discounted bookings show the scheme and the hospital and professional fee discounts. Print has the hospital header and matches the screen. PDF and Excel, where those buttons are shown, match the same figures.</t>
  </si>
  <si>
    <t>RPT-09</t>
  </si>
  <si>
    <t>Consultant Payments Report</t>
  </si>
  <si>
    <t>1. Go to Reports and open Consultant Payments Report.
2. Set a date range. Filter by doctor or payment status if you want.
3. Run the report.
4. Click Print. If PDF or Excel is on the page, download those too.</t>
  </si>
  <si>
    <t>Consultant payments for that range are listed. Print has the hospital header and matches the screen. PDF and Excel, where those buttons are shown, match the same figures.</t>
  </si>
  <si>
    <t>RPT-10</t>
  </si>
  <si>
    <t>Channel Booking Details</t>
  </si>
  <si>
    <t>1. Go to Reports and open Channel Booking Details.
2. Set a date range. Try one extra filter, such as status or payment method.
3. Run the report.
4. Click Print. If PDF or Excel is on the page, download those too.</t>
  </si>
  <si>
    <t>The bookings match the filters. Patient, doctor, and payment columns are filled. Print has the hospital header and matches the screen. PDF and Excel, where those buttons are shown, match the same figures.</t>
  </si>
  <si>
    <t>RPT-11</t>
  </si>
  <si>
    <t>Channel Schedule With Charges</t>
  </si>
  <si>
    <t>1. Go to Reports and open Channel Schedule With Charges.
2. Filter by doctor or speciality and choose the report type.
3. Run the report.
4. Click Print. If PDF or Excel is on the page, download those too.</t>
  </si>
  <si>
    <t>Sessions are listed with the charge breakdown. Print has the hospital header and matches the screen. PDF and Excel, where those buttons are shown, match the same figures.</t>
  </si>
  <si>
    <t>RPT-12</t>
  </si>
  <si>
    <t>Channel Transfer Report</t>
  </si>
  <si>
    <t>1. Go to Reports and open Channel Transfer Report.
2. Set a date range that includes a transfer you made.
3. Run the report.
4. Click Print. If PDF or Excel is on the page, download those too.</t>
  </si>
  <si>
    <t>The transfer shows the from and to session. Print has the hospital header and matches the screen. PDF and Excel, where those buttons are shown, match the same figures.</t>
  </si>
  <si>
    <t>RPT-13</t>
  </si>
  <si>
    <t>Receipt Report</t>
  </si>
  <si>
    <t>1. Go to Reports and open Receipt Report.
2. Set a date range. Try the type filter (all, channel, other) and, if you have it, a receipt number.
3. Run the report.
4. Click Print. If PDF or Excel is on the page, download those too.</t>
  </si>
  <si>
    <t>Receipts for that range are listed, and a receipt number search finds the right one. Print has the hospital header and matches the screen. PDF and Excel, where those buttons are shown, match the same figures.</t>
  </si>
  <si>
    <t>RPT-14</t>
  </si>
  <si>
    <t>Room Occupancy</t>
  </si>
  <si>
    <t>1. Go to Reports and open Room Occupancy.
2. Set a date that has sessions.
3. Run the report.
4. Click Print. If PDF or Excel is on the page, download those too.</t>
  </si>
  <si>
    <t>Booked rooms and hours are shown from the session start and end times. Print has the hospital header and matches the screen. PDF and Excel, where those buttons are shown, match the same figures.</t>
  </si>
  <si>
    <t>RPT-15</t>
  </si>
  <si>
    <t>No Show Patient Report</t>
  </si>
  <si>
    <t>1. Go to Reports and open No Show Patient Report.
2. Run it by date, then by month.
3. Run the report.
4. Click Print. If PDF or Excel is on the page, download those too.</t>
  </si>
  <si>
    <t>No-show counts are shown by speciality and doctor. Print has the hospital header and matches the screen. PDF and Excel, where those buttons are shown, match the same figures.</t>
  </si>
  <si>
    <t>RPT-16</t>
  </si>
  <si>
    <t>Withholding Tax Report</t>
  </si>
  <si>
    <t>1. Go to Reports and open Withholding Tax Report.
2. Set a date range that includes a doctor payment with WHT. Run Detail, then Summary.
3. Run the report.
4. Click Print. If PDF or Excel is on the page, download those too.</t>
  </si>
  <si>
    <t>WHT payments are listed, and the summary totals match the detail. Print has the hospital header and matches the screen. PDF and Excel, where those buttons are shown, match the same figures.</t>
  </si>
  <si>
    <t>RPT-17</t>
  </si>
  <si>
    <t>Channel Agent Reference Book</t>
  </si>
  <si>
    <t>1. Go to Reports and open Channel Agent Reference Book.
2. Open it and apply the filters you need, such as agent or book.
3. Run the report.
4. Click Print. If PDF or Excel is on the page, download those too.</t>
  </si>
  <si>
    <t>The reference book lists the agent books. Print has the hospital header and matches the screen. PDF and Excel, where those buttons are shown, match the same figures.</t>
  </si>
  <si>
    <t>RPT-18</t>
  </si>
  <si>
    <t>Agent Details</t>
  </si>
  <si>
    <t>1. Go to Reports and open Agent Details.
2. Search or filter for one agent you used while booking.
3. Run the report.
4. Click Print. If PDF or Excel is on the page, download those too.</t>
  </si>
  <si>
    <t>That agent's details are shown. Print has the hospital header and matches the screen. PDF and Excel, where those buttons are shown, match the same figures.</t>
  </si>
  <si>
    <t>RPT-19</t>
  </si>
  <si>
    <t>Agent Statement</t>
  </si>
  <si>
    <t>1. Go to Reports and open Agent Statement.
2. Pick one agent and a date range.
3. Run the report.
4. Click Print. If PDF or Excel is on the page, download those too.</t>
  </si>
  <si>
    <t>The statement shows an opening balance, the receipts, and a closing balance. Print has the hospital header and matches the screen. PDF and Excel, where those buttons are shown, match the same figures.</t>
  </si>
  <si>
    <t>RPT-20</t>
  </si>
  <si>
    <t>Channel Agent Receipt</t>
  </si>
  <si>
    <t>1. Go to Reports and open Channel Agent Receipt.
2. Search by a book number you used for an agency booking.
3. Run the report.
4. Click Print. If PDF or Excel is on the page, download those too.</t>
  </si>
  <si>
    <t>Receipts linked to that book are listed. Print has the hospital header and matches the screen. PDF and Excel, where those buttons are shown, match the same figures.</t>
  </si>
  <si>
    <t>RPT-21</t>
  </si>
  <si>
    <t>Agent Balance Report</t>
  </si>
  <si>
    <t>1. Go to Reports and open Agent Balance Report.
2. Open it and use the status filter.
3. Run the report.
4. Click Print. If PDF or Excel is on the page, download those too.</t>
  </si>
  <si>
    <t>Each agent shows the soft limit, the hard limit, and the live balance. Print has the hospital header and matches the screen. PDF and Excel, where those buttons are shown, match the same figures.</t>
  </si>
  <si>
    <t>RPT-22</t>
  </si>
  <si>
    <t>Agent Wise Appointments — Summary and Detail</t>
  </si>
  <si>
    <t>1. Go to Reports and open Agent Wise Appointments — Summary and Detail.
2. Set a session date range and an agent. Run Summary, then Detail.
3. Run the report.
4. Click Print. If PDF or Excel is on the page, download those too.</t>
  </si>
  <si>
    <t>Summary counts match the detail rows and the fee totals. Print has the hospital header and matches the screen. PDF and Excel, where those buttons are shown, match the same figures.</t>
  </si>
  <si>
    <t>RPT-23</t>
  </si>
  <si>
    <t>Agent History (Credit Limit Update)</t>
  </si>
  <si>
    <t>1. Go to Reports and open Agent History (Credit Limit Update).
2. Set a date range.
3. Run the report.
4. Click Print. If PDF or Excel is on the page, download those too.</t>
  </si>
  <si>
    <t>Changes to agent credit limits are listed. Print has the hospital header and matches the screen. PDF and Excel, where those buttons are shown, match the same figures.</t>
  </si>
  <si>
    <t>RPT-24</t>
  </si>
  <si>
    <t>Agent Collection Receipt Report</t>
  </si>
  <si>
    <t>1. Go to Reports and open Agent Collection Receipt Report.
2. Set a date range that includes an agent deposit, if you have one.
3. Run the report.
4. Click Print. If PDF or Excel is on the page, download those too.</t>
  </si>
  <si>
    <t>Deposits, withdrawals, and cancellations are listed, with totals. Print has the hospital header and matches the screen. PDF and Excel, where those buttons are shown, match the same figures.</t>
  </si>
  <si>
    <t>RPT-25</t>
  </si>
  <si>
    <t>Agency Balance Confirmation Letter</t>
  </si>
  <si>
    <t>1. Go to Reports and open Agency Balance Confirmation Letter.
2. Select one agent and generate the letter.
3. Run the report.
4. Click Print. If PDF or Excel is on the page, download those too.</t>
  </si>
  <si>
    <t>The letter shows that agency's balance and is ready to print. Print has the hospital header and matches the screen. PDF and Excel, where those buttons are shown, match the same figures.</t>
  </si>
  <si>
    <t>RPT-26</t>
  </si>
  <si>
    <t>All Cashier Summary and Detail Report</t>
  </si>
  <si>
    <t>1. Go to Reports and open All Cashier Summary and Detail Report.
2. Set a date range and a branch. Run Summary, then Detail.
3. Run the report.
4. Click Print. If PDF or Excel is on the page, download those too.</t>
  </si>
  <si>
    <t>Summary totals match the detail. Your own shift's takings appear under your user. Print has the hospital header and matches the screen. PDF and Excel, where those buttons are shown, match the same figures.</t>
  </si>
  <si>
    <t>RPT-27</t>
  </si>
  <si>
    <t>Userwise Cashier Detail — Channel</t>
  </si>
  <si>
    <t>1. Go to Reports and open Userwise Cashier Detail — Channel.
2. Set a date range and your user. Run Summary, then Detail.
3. Run the report.
4. Click Print. If PDF or Excel is on the page, download those too.</t>
  </si>
  <si>
    <t>The summary and the detail are for that user, and refunds are visible. Print has the hospital header and matches the screen. PDF and Excel, where those buttons are shown, match the same figures.</t>
  </si>
  <si>
    <t>RPT-28</t>
  </si>
  <si>
    <t>Cashier Drawer Balance</t>
  </si>
  <si>
    <t>1. Go to Reports and open Cashier Drawer Balance.
2. Set a date when tills were open.
3. Run the report.
4. Click Print. If PDF or Excel is on the page, download those too.</t>
  </si>
  <si>
    <t>Each till is listed with its balance by payment method. Print has the hospital header and matches the screen. PDF and Excel, where those buttons are shown, match the same figures.</t>
  </si>
  <si>
    <t>RPT-29</t>
  </si>
  <si>
    <t>Daily Returns Summary</t>
  </si>
  <si>
    <t>1. Go to Reports and open Daily Returns Summary.
2. Set a date you used for bookings, a float, or a doctor payment.
3. Run the report.
4. Click Print. If PDF or Excel is on the page, download those too.</t>
  </si>
  <si>
    <t>Totals are split by receipt type, such as settlement, refund, doctor payment, and deposits. Print has the hospital header and matches the screen. PDF and Excel, where those buttons are shown, match the same figures.</t>
  </si>
  <si>
    <t>RPT-30</t>
  </si>
  <si>
    <t>Card Summary — Bank Wise</t>
  </si>
  <si>
    <t>1. Go to Reports and open Card Summary — Bank Wise.
2. Set a date range that includes a card payment. Run Summary, then Detail.
3. Run the report.
4. Click Print. If PDF or Excel is on the page, download those too.</t>
  </si>
  <si>
    <t>Card takings are grouped by bank, and the detail matches the summary. Print has the hospital header and matches the screen. PDF and Excel, where those buttons are shown, match the same figures.</t>
  </si>
  <si>
    <t>RPT-31</t>
  </si>
  <si>
    <t>Cash Book</t>
  </si>
  <si>
    <t>1. Go to Reports and open Cash Book.
2. Choose a cash book and a date range.
3. Run the report.
4. Click Print. If PDF or Excel is on the page, download those too.</t>
  </si>
  <si>
    <t>The statement shows the movements and a closing balance. Print has the hospital header and matches the screen. PDF and Excel, where those buttons are shown, match the same figures.</t>
  </si>
  <si>
    <t>RPT-32</t>
  </si>
  <si>
    <t>Bank Deposits</t>
  </si>
  <si>
    <t>1. Go to Reports and open Bank Deposits.
2. Set a date range and, if you want, a bank account.
3. Run the report.
4. Click Print. If PDF or Excel is on the page, download those too.</t>
  </si>
  <si>
    <t>Bank deposit receipts for that range are listed. Print has the hospital header and matches the screen. PDF and Excel, where those buttons are shown, match the same figures.</t>
  </si>
  <si>
    <t>RPT-33</t>
  </si>
  <si>
    <t>Handovers Report</t>
  </si>
  <si>
    <t>1. Go to Reports and open Handovers Report.
2. Filter by handover status, then by reconciliation status. Include the handover you created.
3. Run the report.
4. Click Print. If PDF or Excel is on the page, download those too.</t>
  </si>
  <si>
    <t>The handover is listed with the sender, the recipient, and both statuses. Print has the hospital header and matches the screen. PDF and Excel, where those buttons are shown, match the same figures.</t>
  </si>
  <si>
    <t>RPT-34</t>
  </si>
  <si>
    <t>Approval Requests Report</t>
  </si>
  <si>
    <t>1. Go to Reports and open Approval Requests Report.
2. Set a period. Look for cancellations, refunds, and bank deposits if you have any.
3. Run the report.
4. Click Print. If PDF or Excel is on the page, download those too.</t>
  </si>
  <si>
    <t>Each row shows who requested it and who approved or rejected it. Print has the hospital header and matches the screen. PDF and Excel, where those buttons are shown, match the same figures.</t>
  </si>
  <si>
    <t>RPT-35</t>
  </si>
  <si>
    <t>SMS Reports</t>
  </si>
  <si>
    <t>1. Go to Reports and open SMS Reports.
2. Set a date range and a status.
3. Run the report.
4. Click Print. If PDF or Excel is on the page, download those too.</t>
  </si>
  <si>
    <t>SMS log rows match the filters. Print has the hospital header and matches the screen. PDF and Excel, where those buttons are shown, match the same figures.</t>
  </si>
  <si>
    <t>RPT-36</t>
  </si>
  <si>
    <t>API Log Report</t>
  </si>
  <si>
    <t>1. Go to Reports and open API Log Report.
2. Set a date range. If you have a UUID, filter by it.
3. Run the report.
4. Click Print. If PDF or Excel is on the page, download those too.</t>
  </si>
  <si>
    <t>API log rows for that range are listed. Print has the hospital header and matches the screen. PDF and Excel, where those buttons are shown, match the same figures.</t>
  </si>
  <si>
    <t>RPT-37</t>
  </si>
  <si>
    <t>User Activity Report</t>
  </si>
  <si>
    <t>1. Go to Reports and open User Activity Report.
2. Set a date range and your user.
3. Run the report.
4. Click Print. If PDF or Excel is on the page, download those too.</t>
  </si>
  <si>
    <t>Your actions from this test, such as bookings, are listed. If the screen says the list is capped, use Export for the full file. Print has the hospital header and matches the screen. PDF and Excel, where those buttons are shown, match the same figures.</t>
  </si>
  <si>
    <t>RPT-38</t>
  </si>
  <si>
    <t>SMS Activity</t>
  </si>
  <si>
    <t>1. Open SMS Activity from the side menu, not the Reports list. Set a date range and search.
2. Confirm the chart and the table.</t>
  </si>
  <si>
    <t>The chart and the message table load for that range. This screen has no print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</si>
</sst>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0.0%"/>
  </numFmts>
  <fonts count="35" x14ac:knownFonts="1">
    <font>
      <sz val="11"/>
      <color theme="1"/>
      <name val="Calibri"/>
      <family val="2"/>
      <scheme val="minor"/>
    </font>
    <font>
      <sz val="11"/>
      <color rgb="FF1F2933"/>
      <name val="Arial"/>
      <family val="2"/>
    </font>
    <font>
      <b/>
      <sz val="14"/>
      <color rgb="FF0F6E6E"/>
      <name val="Arial"/>
      <family val="2"/>
    </font>
    <font>
      <b/>
      <sz val="22"/>
      <color rgb="FF1F4E79"/>
      <name val="Arial"/>
      <family val="2"/>
    </font>
    <font>
      <sz val="12"/>
      <color rgb="FF52606D"/>
      <name val="Arial"/>
      <family val="2"/>
    </font>
    <font>
      <b/>
      <sz val="11"/>
      <color rgb="FFFFFFFF"/>
      <name val="Arial"/>
      <family val="2"/>
    </font>
    <font>
      <b/>
      <sz val="10"/>
      <color rgb="FF1F4E79"/>
      <name val="Arial"/>
      <family val="2"/>
    </font>
    <font>
      <b/>
      <sz val="10"/>
      <color rgb="FF0000FF"/>
      <name val="Arial"/>
      <family val="2"/>
    </font>
    <font>
      <sz val="10"/>
      <color rgb="FF1F2933"/>
      <name val="Arial"/>
      <family val="2"/>
    </font>
    <font>
      <b/>
      <sz val="10"/>
      <color rgb="FF1F2933"/>
      <name val="Arial"/>
      <family val="2"/>
    </font>
    <font>
      <b/>
      <sz val="10"/>
      <color rgb="FF1E7A46"/>
      <name val="Arial"/>
      <family val="2"/>
    </font>
    <font>
      <b/>
      <sz val="10"/>
      <color rgb="FFB42318"/>
      <name val="Arial"/>
      <family val="2"/>
    </font>
    <font>
      <b/>
      <sz val="10"/>
      <color rgb="FFB54708"/>
      <name val="Arial"/>
      <family val="2"/>
    </font>
    <font>
      <b/>
      <sz val="10"/>
      <color rgb="FF52606D"/>
      <name val="Arial"/>
      <family val="2"/>
    </font>
    <font>
      <sz val="10"/>
      <color rgb="FF0000FF"/>
      <name val="Arial"/>
      <family val="2"/>
    </font>
    <font>
      <sz val="10"/>
      <color rgb="FF52606D"/>
      <name val="Arial"/>
      <family val="2"/>
    </font>
    <font>
      <b/>
      <sz val="18"/>
      <color rgb="FF1F4E79"/>
      <name val="Arial"/>
      <family val="2"/>
    </font>
    <font>
      <b/>
      <sz val="10"/>
      <color rgb="FFFFFFFF"/>
      <name val="Arial"/>
      <family val="2"/>
    </font>
    <font>
      <sz val="11"/>
      <color rgb="FF0000FF"/>
      <name val="Arial"/>
      <family val="2"/>
    </font>
    <font>
      <b/>
      <sz val="16"/>
      <color rgb="FF1F4E79"/>
      <name val="Arial"/>
      <family val="2"/>
    </font>
    <font>
      <sz val="9"/>
      <color rgb="FF52606D"/>
      <name val="Arial"/>
      <family val="2"/>
    </font>
    <font>
      <b/>
      <sz val="14"/>
      <color rgb="FF1F4E79"/>
      <name val="Arial"/>
      <family val="2"/>
    </font>
    <font>
      <b/>
      <sz val="14"/>
      <color rgb="FF1E7A46"/>
      <name val="Arial"/>
      <family val="2"/>
    </font>
    <font>
      <b/>
      <sz val="14"/>
      <color rgb="FFB42318"/>
      <name val="Arial"/>
      <family val="2"/>
    </font>
    <font>
      <b/>
      <sz val="14"/>
      <color rgb="FFB54708"/>
      <name val="Arial"/>
      <family val="2"/>
    </font>
    <font>
      <b/>
      <sz val="14"/>
      <color rgb="FF52606D"/>
      <name val="Arial"/>
      <family val="2"/>
    </font>
    <font>
      <i/>
      <sz val="9"/>
      <color rgb="FF52606D"/>
      <name val="Arial"/>
      <family val="2"/>
    </font>
    <font>
      <b/>
      <sz val="11"/>
      <color rgb="FFFFFFFF"/>
      <name val="Arial"/>
      <family val="2"/>
    </font>
    <font>
      <b/>
      <sz val="10"/>
      <color rgb="FF1F4E79"/>
      <name val="Arial"/>
      <family val="2"/>
    </font>
    <font>
      <b/>
      <sz val="10"/>
      <color rgb="FF1F2933"/>
      <name val="Arial"/>
      <family val="2"/>
    </font>
    <font>
      <sz val="10"/>
      <color rgb="FF1F2933"/>
      <name val="Arial"/>
      <family val="2"/>
    </font>
    <font>
      <sz val="11"/>
      <color rgb="FF0000FF"/>
      <name val="Arial"/>
      <family val="2"/>
    </font>
    <font>
      <b/>
      <sz val="10"/>
      <color rgb="FFFFFFFF"/>
      <name val="Arial"/>
      <family val="2"/>
    </font>
    <font>
      <i/>
      <sz val="9"/>
      <color rgb="FF52606D"/>
      <name val="Arial"/>
      <family val="2"/>
    </font>
    <font>
      <i/>
      <sz val="8"/>
      <color rgb="FF52606D"/>
      <name val="Arial"/>
      <family val="2"/>
    </font>
  </fonts>
  <fills count="34">
    <fill>
      <patternFill patternType="none"/>
    </fill>
    <fill>
      <patternFill patternType="gray125"/>
    </fill>
    <fill>
      <patternFill patternType="solid">
        <fgColor rgb="FF1F4E79"/>
      </patternFill>
    </fill>
    <fill>
      <patternFill patternType="solid">
        <fgColor rgb="FFF4F6F8"/>
      </patternFill>
    </fill>
    <fill>
      <patternFill patternType="solid">
        <fgColor rgb="FF0F6E6E"/>
      </patternFill>
    </fill>
    <fill>
      <patternFill patternType="solid">
        <fgColor rgb="FFFFFFFF"/>
      </patternFill>
    </fill>
    <fill>
      <patternFill patternType="solid">
        <fgColor rgb="FFF3F7F7"/>
      </patternFill>
    </fill>
    <fill>
      <patternFill patternType="solid">
        <fgColor rgb="FFE8EEF5"/>
      </patternFill>
    </fill>
    <fill>
      <patternFill patternType="solid">
        <fgColor rgb="FFFFF4CC"/>
      </patternFill>
    </fill>
    <fill>
      <patternFill patternType="solid">
        <fgColor rgb="FFD6E6F5"/>
      </patternFill>
    </fill>
    <fill>
      <patternFill patternType="solid">
        <fgColor rgb="FFE5F6E8"/>
      </patternFill>
    </fill>
    <fill>
      <patternFill patternType="solid">
        <fgColor rgb="FFFDECEC"/>
      </patternFill>
    </fill>
    <fill>
      <patternFill patternType="solid">
        <fgColor rgb="FFFEF4E0"/>
      </patternFill>
    </fill>
    <fill>
      <patternFill patternType="solid">
        <fgColor rgb="FF5C6B7A"/>
      </patternFill>
    </fill>
    <fill>
      <patternFill patternType="solid">
        <fgColor rgb="FFE8EEF2"/>
      </patternFill>
    </fill>
    <fill>
      <patternFill patternType="solid">
        <fgColor rgb="FFD9F2EA"/>
      </patternFill>
    </fill>
    <fill>
      <patternFill patternType="solid">
        <fgColor rgb="FFF8F1D8"/>
      </patternFill>
    </fill>
    <fill>
      <patternFill patternType="solid">
        <fgColor rgb="FFF8E4E4"/>
      </patternFill>
    </fill>
    <fill>
      <patternFill patternType="solid">
        <fgColor rgb="FFF6EADF"/>
      </patternFill>
    </fill>
    <fill>
      <patternFill patternType="solid">
        <fgColor rgb="FFE4E9F2"/>
      </patternFill>
    </fill>
    <fill>
      <patternFill patternType="solid">
        <fgColor rgb="FFEDE4F5"/>
      </patternFill>
    </fill>
    <fill>
      <patternFill patternType="solid">
        <fgColor rgb="FFDEF3E4"/>
      </patternFill>
    </fill>
    <fill>
      <patternFill patternType="solid">
        <fgColor rgb="FFD7EEF8"/>
      </patternFill>
    </fill>
    <fill>
      <patternFill patternType="solid">
        <fgColor rgb="FFF3EDE3"/>
      </patternFill>
    </fill>
    <fill>
      <patternFill patternType="solid">
        <fgColor rgb="FFF6EBD9"/>
      </patternFill>
    </fill>
    <fill>
      <patternFill patternType="solid">
        <fgColor rgb="FFE3EAF3"/>
      </patternFill>
    </fill>
    <fill>
      <patternFill patternType="solid">
        <fgColor rgb="FF3D4F61"/>
      </patternFill>
    </fill>
    <fill>
      <patternFill patternType="solid">
        <fgColor rgb="FFEEF1F4"/>
      </patternFill>
    </fill>
    <fill>
      <patternFill patternType="solid">
        <fgColor rgb="FF1F4E79"/>
      </patternFill>
    </fill>
    <fill>
      <patternFill patternType="solid">
        <fgColor rgb="FFF4EDE4"/>
      </patternFill>
    </fill>
    <fill>
      <patternFill patternType="solid">
        <fgColor rgb="FFFFF4CC"/>
      </patternFill>
    </fill>
    <fill>
      <patternFill patternType="solid">
        <fgColor rgb="FF0F6E6E"/>
      </patternFill>
    </fill>
    <fill>
      <patternFill patternType="solid">
        <fgColor rgb="FFE3F2EA"/>
      </patternFill>
    </fill>
    <fill>
      <patternFill patternType="solid">
        <fgColor rgb="FFE8EEF5"/>
      </patternFill>
    </fill>
  </fills>
  <borders count="13">
    <border>
      <left/>
      <right/>
      <top/>
      <bottom/>
      <diagonal/>
    </border>
    <border>
      <left style="thin">
        <color rgb="FFE8EEF5"/>
      </left>
      <right style="thin">
        <color rgb="FFE8EEF5"/>
      </right>
      <top style="thin">
        <color rgb="FFE8EEF5"/>
      </top>
      <bottom style="thin">
        <color rgb="FFE8EEF5"/>
      </bottom>
      <diagonal/>
    </border>
    <border>
      <left style="thin">
        <color rgb="FFD5DDE5"/>
      </left>
      <right style="thin">
        <color rgb="FFD5DDE5"/>
      </right>
      <top style="thin">
        <color rgb="FFD5DDE5"/>
      </top>
      <bottom style="thin">
        <color rgb="FFD5DDE5"/>
      </bottom>
      <diagonal/>
    </border>
    <border>
      <left/>
      <right/>
      <top style="thin">
        <color rgb="FFD5DDE5"/>
      </top>
      <bottom style="thin">
        <color rgb="FFD5DDE5"/>
      </bottom>
      <diagonal/>
    </border>
    <border>
      <left/>
      <right style="thin">
        <color rgb="FFD5DDE5"/>
      </right>
      <top style="thin">
        <color rgb="FFD5DDE5"/>
      </top>
      <bottom style="thin">
        <color rgb="FFD5DDE5"/>
      </bottom>
      <diagonal/>
    </border>
    <border>
      <left/>
      <right/>
      <top style="thin">
        <color rgb="FFE8EEF5"/>
      </top>
      <bottom/>
      <diagonal/>
    </border>
    <border>
      <left style="thin">
        <color rgb="FFE8EEF5"/>
      </left>
      <right/>
      <top/>
      <bottom/>
      <diagonal/>
    </border>
    <border>
      <left/>
      <right style="thin">
        <color rgb="FFE8EEF5"/>
      </right>
      <top style="thin">
        <color rgb="FFE8EEF5"/>
      </top>
      <bottom/>
      <diagonal/>
    </border>
    <border>
      <left/>
      <right style="thin">
        <color rgb="FFE8EEF5"/>
      </right>
      <top/>
      <bottom/>
      <diagonal/>
    </border>
    <border>
      <left style="thin">
        <color rgb="FFE8EEF5"/>
      </left>
      <right/>
      <top/>
      <bottom style="thin">
        <color rgb="FFE8EEF5"/>
      </bottom>
      <diagonal/>
    </border>
    <border>
      <left/>
      <right/>
      <top/>
      <bottom style="thin">
        <color rgb="FFE8EEF5"/>
      </bottom>
      <diagonal/>
    </border>
    <border>
      <left/>
      <right style="thin">
        <color rgb="FFE8EEF5"/>
      </right>
      <top/>
      <bottom style="thin">
        <color rgb="FFE8EEF5"/>
      </bottom>
      <diagonal/>
    </border>
    <border>
      <left style="thin">
        <color rgb="FFD5DDE5"/>
      </left>
      <right style="thin">
        <color rgb="FFD5DDE5"/>
      </right>
      <top style="thin">
        <color rgb="FFD5DDE5"/>
      </top>
      <bottom style="thin">
        <color rgb="FFD5DDE5"/>
      </bottom>
      <diagonal/>
    </border>
  </borders>
  <cellStyleXfs count="1">
    <xf numFmtId="0" fontId="0" fillId="0" borderId="0"/>
  </cellStyleXfs>
  <cellXfs count="167">
    <xf numFmtId="0" fontId="0" fillId="0" borderId="0" xfId="0"/>
    <xf numFmtId="0" fontId="6" fillId="7"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0" fontId="9" fillId="9" borderId="2"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12" fillId="12" borderId="2"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10" fillId="10"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6" fillId="9"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9" borderId="2" xfId="0" applyFont="1" applyFill="1" applyBorder="1" applyAlignment="1">
      <alignment horizontal="left" vertical="top" wrapText="1"/>
    </xf>
    <xf numFmtId="0" fontId="8" fillId="9" borderId="2" xfId="0" applyFont="1" applyFill="1" applyBorder="1" applyAlignment="1">
      <alignment horizontal="left" vertical="top" wrapText="1"/>
    </xf>
    <xf numFmtId="0" fontId="18" fillId="8" borderId="2" xfId="0" applyFont="1" applyFill="1" applyBorder="1" applyAlignment="1">
      <alignment horizontal="center" vertical="center" wrapText="1"/>
    </xf>
    <xf numFmtId="0" fontId="18" fillId="8" borderId="2" xfId="0" applyFont="1" applyFill="1" applyBorder="1" applyAlignment="1">
      <alignment horizontal="left" vertical="top" wrapText="1"/>
    </xf>
    <xf numFmtId="0" fontId="6" fillId="14" borderId="2" xfId="0" applyFont="1" applyFill="1" applyBorder="1" applyAlignment="1">
      <alignment horizontal="center" vertical="center" wrapText="1"/>
    </xf>
    <xf numFmtId="0" fontId="9" fillId="14" borderId="2" xfId="0" applyFont="1" applyFill="1" applyBorder="1" applyAlignment="1">
      <alignment horizontal="left" vertical="center" wrapText="1"/>
    </xf>
    <xf numFmtId="0" fontId="8" fillId="14" borderId="2" xfId="0" applyFont="1" applyFill="1" applyBorder="1" applyAlignment="1">
      <alignment horizontal="center" vertical="center" wrapText="1"/>
    </xf>
    <xf numFmtId="0" fontId="9" fillId="14" borderId="2" xfId="0" applyFont="1" applyFill="1" applyBorder="1" applyAlignment="1">
      <alignment horizontal="left" vertical="top" wrapText="1"/>
    </xf>
    <xf numFmtId="0" fontId="8" fillId="14" borderId="2" xfId="0" applyFont="1" applyFill="1" applyBorder="1" applyAlignment="1">
      <alignment horizontal="left" vertical="top" wrapText="1"/>
    </xf>
    <xf numFmtId="0" fontId="6" fillId="15" borderId="2" xfId="0" applyFont="1" applyFill="1" applyBorder="1" applyAlignment="1">
      <alignment horizontal="center" vertical="center" wrapText="1"/>
    </xf>
    <xf numFmtId="0" fontId="9" fillId="15" borderId="2" xfId="0" applyFont="1" applyFill="1" applyBorder="1" applyAlignment="1">
      <alignment horizontal="left" vertical="center" wrapText="1"/>
    </xf>
    <xf numFmtId="0" fontId="8" fillId="15" borderId="2" xfId="0" applyFont="1" applyFill="1" applyBorder="1" applyAlignment="1">
      <alignment horizontal="center" vertical="center" wrapText="1"/>
    </xf>
    <xf numFmtId="0" fontId="9" fillId="15" borderId="2" xfId="0" applyFont="1" applyFill="1" applyBorder="1" applyAlignment="1">
      <alignment horizontal="left" vertical="top" wrapText="1"/>
    </xf>
    <xf numFmtId="0" fontId="8" fillId="15" borderId="2" xfId="0" applyFont="1" applyFill="1" applyBorder="1" applyAlignment="1">
      <alignment horizontal="left" vertical="top" wrapText="1"/>
    </xf>
    <xf numFmtId="0" fontId="6" fillId="16" borderId="2" xfId="0" applyFont="1" applyFill="1" applyBorder="1" applyAlignment="1">
      <alignment horizontal="center" vertical="center" wrapText="1"/>
    </xf>
    <xf numFmtId="0" fontId="9" fillId="16" borderId="2" xfId="0" applyFont="1" applyFill="1" applyBorder="1" applyAlignment="1">
      <alignment horizontal="left" vertical="center" wrapText="1"/>
    </xf>
    <xf numFmtId="0" fontId="8" fillId="16" borderId="2" xfId="0" applyFont="1" applyFill="1" applyBorder="1" applyAlignment="1">
      <alignment horizontal="center" vertical="center" wrapText="1"/>
    </xf>
    <xf numFmtId="0" fontId="9" fillId="16" borderId="2" xfId="0" applyFont="1" applyFill="1" applyBorder="1" applyAlignment="1">
      <alignment horizontal="left" vertical="top" wrapText="1"/>
    </xf>
    <xf numFmtId="0" fontId="8" fillId="16" borderId="2" xfId="0" applyFont="1" applyFill="1" applyBorder="1" applyAlignment="1">
      <alignment horizontal="left" vertical="top" wrapText="1"/>
    </xf>
    <xf numFmtId="0" fontId="6" fillId="17" borderId="2" xfId="0" applyFont="1" applyFill="1" applyBorder="1" applyAlignment="1">
      <alignment horizontal="center" vertical="center" wrapText="1"/>
    </xf>
    <xf numFmtId="0" fontId="9" fillId="17" borderId="2" xfId="0" applyFont="1" applyFill="1" applyBorder="1" applyAlignment="1">
      <alignment horizontal="left" vertical="center" wrapText="1"/>
    </xf>
    <xf numFmtId="0" fontId="8" fillId="17" borderId="2" xfId="0" applyFont="1" applyFill="1" applyBorder="1" applyAlignment="1">
      <alignment horizontal="center" vertical="center" wrapText="1"/>
    </xf>
    <xf numFmtId="0" fontId="9" fillId="17" borderId="2" xfId="0" applyFont="1" applyFill="1" applyBorder="1" applyAlignment="1">
      <alignment horizontal="left" vertical="top" wrapText="1"/>
    </xf>
    <xf numFmtId="0" fontId="8" fillId="17" borderId="2" xfId="0" applyFont="1" applyFill="1" applyBorder="1" applyAlignment="1">
      <alignment horizontal="left" vertical="top" wrapText="1"/>
    </xf>
    <xf numFmtId="0" fontId="6" fillId="18" borderId="2" xfId="0" applyFont="1" applyFill="1" applyBorder="1" applyAlignment="1">
      <alignment horizontal="center" vertical="center" wrapText="1"/>
    </xf>
    <xf numFmtId="0" fontId="9" fillId="18" borderId="2" xfId="0" applyFont="1" applyFill="1" applyBorder="1" applyAlignment="1">
      <alignment horizontal="left" vertical="center" wrapText="1"/>
    </xf>
    <xf numFmtId="0" fontId="8" fillId="18" borderId="2" xfId="0" applyFont="1" applyFill="1" applyBorder="1" applyAlignment="1">
      <alignment horizontal="center" vertical="center" wrapText="1"/>
    </xf>
    <xf numFmtId="0" fontId="9" fillId="18" borderId="2" xfId="0" applyFont="1" applyFill="1" applyBorder="1" applyAlignment="1">
      <alignment horizontal="left" vertical="top" wrapText="1"/>
    </xf>
    <xf numFmtId="0" fontId="8" fillId="18" borderId="2" xfId="0" applyFont="1" applyFill="1" applyBorder="1" applyAlignment="1">
      <alignment horizontal="left" vertical="top" wrapText="1"/>
    </xf>
    <xf numFmtId="0" fontId="6" fillId="19" borderId="2" xfId="0" applyFont="1" applyFill="1" applyBorder="1" applyAlignment="1">
      <alignment horizontal="center" vertical="center" wrapText="1"/>
    </xf>
    <xf numFmtId="0" fontId="9" fillId="19" borderId="2" xfId="0" applyFont="1" applyFill="1" applyBorder="1" applyAlignment="1">
      <alignment horizontal="left" vertical="center" wrapText="1"/>
    </xf>
    <xf numFmtId="0" fontId="8" fillId="19" borderId="2" xfId="0" applyFont="1" applyFill="1" applyBorder="1" applyAlignment="1">
      <alignment horizontal="center" vertical="center" wrapText="1"/>
    </xf>
    <xf numFmtId="0" fontId="9" fillId="19" borderId="2" xfId="0" applyFont="1" applyFill="1" applyBorder="1" applyAlignment="1">
      <alignment horizontal="left" vertical="top" wrapText="1"/>
    </xf>
    <xf numFmtId="0" fontId="8" fillId="19" borderId="2" xfId="0" applyFont="1" applyFill="1" applyBorder="1" applyAlignment="1">
      <alignment horizontal="left" vertical="top" wrapText="1"/>
    </xf>
    <xf numFmtId="0" fontId="6" fillId="20" borderId="2" xfId="0" applyFont="1" applyFill="1" applyBorder="1" applyAlignment="1">
      <alignment horizontal="center" vertical="center" wrapText="1"/>
    </xf>
    <xf numFmtId="0" fontId="9" fillId="20" borderId="2" xfId="0" applyFont="1" applyFill="1" applyBorder="1" applyAlignment="1">
      <alignment horizontal="left" vertical="center" wrapText="1"/>
    </xf>
    <xf numFmtId="0" fontId="8" fillId="20" borderId="2" xfId="0" applyFont="1" applyFill="1" applyBorder="1" applyAlignment="1">
      <alignment horizontal="center" vertical="center" wrapText="1"/>
    </xf>
    <xf numFmtId="0" fontId="9" fillId="20" borderId="2" xfId="0" applyFont="1" applyFill="1" applyBorder="1" applyAlignment="1">
      <alignment horizontal="left" vertical="top" wrapText="1"/>
    </xf>
    <xf numFmtId="0" fontId="8" fillId="20" borderId="2" xfId="0" applyFont="1" applyFill="1" applyBorder="1" applyAlignment="1">
      <alignment horizontal="left" vertical="top" wrapText="1"/>
    </xf>
    <xf numFmtId="0" fontId="6" fillId="21" borderId="2" xfId="0" applyFont="1" applyFill="1" applyBorder="1" applyAlignment="1">
      <alignment horizontal="center" vertical="center" wrapText="1"/>
    </xf>
    <xf numFmtId="0" fontId="9" fillId="21" borderId="2" xfId="0" applyFont="1" applyFill="1" applyBorder="1" applyAlignment="1">
      <alignment horizontal="left" vertical="center" wrapText="1"/>
    </xf>
    <xf numFmtId="0" fontId="8" fillId="21" borderId="2" xfId="0" applyFont="1" applyFill="1" applyBorder="1" applyAlignment="1">
      <alignment horizontal="center" vertical="center" wrapText="1"/>
    </xf>
    <xf numFmtId="0" fontId="9" fillId="21" borderId="2" xfId="0" applyFont="1" applyFill="1" applyBorder="1" applyAlignment="1">
      <alignment horizontal="left" vertical="top" wrapText="1"/>
    </xf>
    <xf numFmtId="0" fontId="8" fillId="21" borderId="2" xfId="0" applyFont="1" applyFill="1" applyBorder="1" applyAlignment="1">
      <alignment horizontal="left" vertical="top" wrapText="1"/>
    </xf>
    <xf numFmtId="0" fontId="6" fillId="22" borderId="2" xfId="0" applyFont="1" applyFill="1" applyBorder="1" applyAlignment="1">
      <alignment horizontal="center" vertical="center" wrapText="1"/>
    </xf>
    <xf numFmtId="0" fontId="9" fillId="22" borderId="2" xfId="0" applyFont="1" applyFill="1" applyBorder="1" applyAlignment="1">
      <alignment horizontal="left" vertical="center" wrapText="1"/>
    </xf>
    <xf numFmtId="0" fontId="8" fillId="22" borderId="2" xfId="0" applyFont="1" applyFill="1" applyBorder="1" applyAlignment="1">
      <alignment horizontal="center" vertical="center" wrapText="1"/>
    </xf>
    <xf numFmtId="0" fontId="9" fillId="22" borderId="2" xfId="0" applyFont="1" applyFill="1" applyBorder="1" applyAlignment="1">
      <alignment horizontal="left" vertical="top" wrapText="1"/>
    </xf>
    <xf numFmtId="0" fontId="8" fillId="22" borderId="2" xfId="0" applyFont="1" applyFill="1" applyBorder="1" applyAlignment="1">
      <alignment horizontal="left" vertical="top" wrapText="1"/>
    </xf>
    <xf numFmtId="0" fontId="6" fillId="23" borderId="2" xfId="0" applyFont="1" applyFill="1" applyBorder="1" applyAlignment="1">
      <alignment horizontal="center" vertical="center" wrapText="1"/>
    </xf>
    <xf numFmtId="0" fontId="9" fillId="23" borderId="2" xfId="0" applyFont="1" applyFill="1" applyBorder="1" applyAlignment="1">
      <alignment horizontal="left" vertical="center" wrapText="1"/>
    </xf>
    <xf numFmtId="0" fontId="8" fillId="23" borderId="2" xfId="0" applyFont="1" applyFill="1" applyBorder="1" applyAlignment="1">
      <alignment horizontal="center" vertical="center" wrapText="1"/>
    </xf>
    <xf numFmtId="0" fontId="9" fillId="23" borderId="2" xfId="0" applyFont="1" applyFill="1" applyBorder="1" applyAlignment="1">
      <alignment horizontal="left" vertical="top" wrapText="1"/>
    </xf>
    <xf numFmtId="0" fontId="8" fillId="23" borderId="2" xfId="0" applyFont="1" applyFill="1" applyBorder="1" applyAlignment="1">
      <alignment horizontal="left" vertical="top" wrapText="1"/>
    </xf>
    <xf numFmtId="0" fontId="6" fillId="24" borderId="2" xfId="0" applyFont="1" applyFill="1" applyBorder="1" applyAlignment="1">
      <alignment horizontal="center" vertical="center" wrapText="1"/>
    </xf>
    <xf numFmtId="0" fontId="9" fillId="24" borderId="2" xfId="0" applyFont="1" applyFill="1" applyBorder="1" applyAlignment="1">
      <alignment horizontal="left" vertical="center" wrapText="1"/>
    </xf>
    <xf numFmtId="0" fontId="8" fillId="24" borderId="2" xfId="0" applyFont="1" applyFill="1" applyBorder="1" applyAlignment="1">
      <alignment horizontal="center" vertical="center" wrapText="1"/>
    </xf>
    <xf numFmtId="0" fontId="9" fillId="24" borderId="2" xfId="0" applyFont="1" applyFill="1" applyBorder="1" applyAlignment="1">
      <alignment horizontal="left" vertical="top" wrapText="1"/>
    </xf>
    <xf numFmtId="0" fontId="8" fillId="24" borderId="2" xfId="0" applyFont="1" applyFill="1" applyBorder="1" applyAlignment="1">
      <alignment horizontal="left" vertical="top" wrapText="1"/>
    </xf>
    <xf numFmtId="0" fontId="6" fillId="25" borderId="2" xfId="0" applyFont="1" applyFill="1" applyBorder="1" applyAlignment="1">
      <alignment horizontal="center" vertical="center" wrapText="1"/>
    </xf>
    <xf numFmtId="0" fontId="9" fillId="25" borderId="2" xfId="0" applyFont="1" applyFill="1" applyBorder="1" applyAlignment="1">
      <alignment horizontal="left" vertical="center" wrapText="1"/>
    </xf>
    <xf numFmtId="0" fontId="8" fillId="25" borderId="2" xfId="0" applyFont="1" applyFill="1" applyBorder="1" applyAlignment="1">
      <alignment horizontal="center" vertical="center" wrapText="1"/>
    </xf>
    <xf numFmtId="0" fontId="9" fillId="25" borderId="2" xfId="0" applyFont="1" applyFill="1" applyBorder="1" applyAlignment="1">
      <alignment horizontal="left" vertical="top" wrapText="1"/>
    </xf>
    <xf numFmtId="0" fontId="8" fillId="25" borderId="2" xfId="0" applyFont="1" applyFill="1" applyBorder="1" applyAlignment="1">
      <alignment horizontal="left" vertical="top" wrapText="1"/>
    </xf>
    <xf numFmtId="0" fontId="5" fillId="26"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1" fontId="21" fillId="5" borderId="2" xfId="0" applyNumberFormat="1" applyFont="1" applyFill="1" applyBorder="1" applyAlignment="1">
      <alignment horizontal="center" vertical="center" wrapText="1"/>
    </xf>
    <xf numFmtId="1" fontId="22" fillId="10" borderId="2" xfId="0" applyNumberFormat="1" applyFont="1" applyFill="1" applyBorder="1" applyAlignment="1">
      <alignment horizontal="center" vertical="center" wrapText="1"/>
    </xf>
    <xf numFmtId="1" fontId="23" fillId="11" borderId="2" xfId="0" applyNumberFormat="1" applyFont="1" applyFill="1" applyBorder="1" applyAlignment="1">
      <alignment horizontal="center" vertical="center" wrapText="1"/>
    </xf>
    <xf numFmtId="1" fontId="24" fillId="12" borderId="2" xfId="0" applyNumberFormat="1" applyFont="1" applyFill="1" applyBorder="1" applyAlignment="1">
      <alignment horizontal="center" vertical="center" wrapText="1"/>
    </xf>
    <xf numFmtId="1" fontId="25" fillId="27" borderId="2" xfId="0" applyNumberFormat="1" applyFont="1" applyFill="1" applyBorder="1" applyAlignment="1">
      <alignment horizontal="center" vertical="center" wrapText="1"/>
    </xf>
    <xf numFmtId="1" fontId="8" fillId="9" borderId="2" xfId="0" applyNumberFormat="1" applyFont="1" applyFill="1" applyBorder="1" applyAlignment="1">
      <alignment horizontal="center" vertical="center" wrapText="1"/>
    </xf>
    <xf numFmtId="1" fontId="8" fillId="14" borderId="2" xfId="0" applyNumberFormat="1" applyFont="1" applyFill="1" applyBorder="1" applyAlignment="1">
      <alignment horizontal="center" vertical="center" wrapText="1"/>
    </xf>
    <xf numFmtId="1" fontId="8" fillId="15" borderId="2" xfId="0" applyNumberFormat="1" applyFont="1" applyFill="1" applyBorder="1" applyAlignment="1">
      <alignment horizontal="center" vertical="center" wrapText="1"/>
    </xf>
    <xf numFmtId="1" fontId="8" fillId="16" borderId="2" xfId="0" applyNumberFormat="1" applyFont="1" applyFill="1" applyBorder="1" applyAlignment="1">
      <alignment horizontal="center" vertical="center" wrapText="1"/>
    </xf>
    <xf numFmtId="1" fontId="8" fillId="17" borderId="2" xfId="0" applyNumberFormat="1" applyFont="1" applyFill="1" applyBorder="1" applyAlignment="1">
      <alignment horizontal="center" vertical="center" wrapText="1"/>
    </xf>
    <xf numFmtId="1" fontId="8" fillId="18" borderId="2" xfId="0" applyNumberFormat="1" applyFont="1" applyFill="1" applyBorder="1" applyAlignment="1">
      <alignment horizontal="center" vertical="center" wrapText="1"/>
    </xf>
    <xf numFmtId="1" fontId="8" fillId="19" borderId="2" xfId="0" applyNumberFormat="1" applyFont="1" applyFill="1" applyBorder="1" applyAlignment="1">
      <alignment horizontal="center" vertical="center" wrapText="1"/>
    </xf>
    <xf numFmtId="1" fontId="8" fillId="20" borderId="2" xfId="0" applyNumberFormat="1" applyFont="1" applyFill="1" applyBorder="1" applyAlignment="1">
      <alignment horizontal="center" vertical="center" wrapText="1"/>
    </xf>
    <xf numFmtId="1" fontId="8" fillId="21" borderId="2" xfId="0" applyNumberFormat="1" applyFont="1" applyFill="1" applyBorder="1" applyAlignment="1">
      <alignment horizontal="center" vertical="center" wrapText="1"/>
    </xf>
    <xf numFmtId="1" fontId="8" fillId="22" borderId="2" xfId="0" applyNumberFormat="1" applyFont="1" applyFill="1" applyBorder="1" applyAlignment="1">
      <alignment horizontal="center" vertical="center" wrapText="1"/>
    </xf>
    <xf numFmtId="1" fontId="8" fillId="24" borderId="2" xfId="0" applyNumberFormat="1" applyFont="1" applyFill="1" applyBorder="1" applyAlignment="1">
      <alignment horizontal="center" vertical="center" wrapText="1"/>
    </xf>
    <xf numFmtId="1" fontId="8" fillId="25" borderId="2" xfId="0" applyNumberFormat="1" applyFont="1" applyFill="1" applyBorder="1" applyAlignment="1">
      <alignment horizontal="center" vertical="center" wrapText="1"/>
    </xf>
    <xf numFmtId="1" fontId="8" fillId="23" borderId="2" xfId="0" applyNumberFormat="1" applyFont="1" applyFill="1" applyBorder="1" applyAlignment="1">
      <alignment horizontal="center" vertical="center" wrapText="1"/>
    </xf>
    <xf numFmtId="0" fontId="26" fillId="0" borderId="0" xfId="0" applyFont="1" applyAlignment="1">
      <alignment horizontal="left" vertical="center" wrapText="1"/>
    </xf>
    <xf numFmtId="0" fontId="1" fillId="0" borderId="0" xfId="0" applyFont="1"/>
    <xf numFmtId="0" fontId="27" fillId="28" borderId="12" xfId="0" applyFont="1" applyFill="1" applyBorder="1" applyAlignment="1">
      <alignment horizontal="left" vertical="center" wrapText="1"/>
    </xf>
    <xf numFmtId="0" fontId="28" fillId="29" borderId="12" xfId="0" applyFont="1" applyFill="1" applyBorder="1" applyAlignment="1">
      <alignment horizontal="center" vertical="center" wrapText="1"/>
    </xf>
    <xf numFmtId="0" fontId="29" fillId="29" borderId="12" xfId="0" applyFont="1" applyFill="1" applyBorder="1" applyAlignment="1">
      <alignment horizontal="left" vertical="center" wrapText="1"/>
    </xf>
    <xf numFmtId="0" fontId="30" fillId="29" borderId="12" xfId="0" applyFont="1" applyFill="1" applyBorder="1" applyAlignment="1">
      <alignment horizontal="center" vertical="center" wrapText="1"/>
    </xf>
    <xf numFmtId="0" fontId="29" fillId="29" borderId="12" xfId="0" applyFont="1" applyFill="1" applyBorder="1" applyAlignment="1">
      <alignment horizontal="left" vertical="top" wrapText="1"/>
    </xf>
    <xf numFmtId="0" fontId="30" fillId="29" borderId="12" xfId="0" applyFont="1" applyFill="1" applyBorder="1" applyAlignment="1">
      <alignment horizontal="left" vertical="top" wrapText="1"/>
    </xf>
    <xf numFmtId="0" fontId="31" fillId="30" borderId="12" xfId="0" applyFont="1" applyFill="1" applyBorder="1" applyAlignment="1">
      <alignment horizontal="center" vertical="center" wrapText="1"/>
    </xf>
    <xf numFmtId="0" fontId="31" fillId="30" borderId="12" xfId="0" applyFont="1" applyFill="1" applyBorder="1" applyAlignment="1">
      <alignment horizontal="left" vertical="top" wrapText="1"/>
    </xf>
    <xf numFmtId="0" fontId="27" fillId="31" borderId="12" xfId="0" applyFont="1" applyFill="1" applyBorder="1" applyAlignment="1">
      <alignment horizontal="left" vertical="center" wrapText="1"/>
    </xf>
    <xf numFmtId="0" fontId="28" fillId="32" borderId="12" xfId="0" applyFont="1" applyFill="1" applyBorder="1" applyAlignment="1">
      <alignment horizontal="center" vertical="center" wrapText="1"/>
    </xf>
    <xf numFmtId="0" fontId="29" fillId="32" borderId="12" xfId="0" applyFont="1" applyFill="1" applyBorder="1" applyAlignment="1">
      <alignment horizontal="left" vertical="center" wrapText="1"/>
    </xf>
    <xf numFmtId="0" fontId="30" fillId="32" borderId="12" xfId="0" applyFont="1" applyFill="1" applyBorder="1" applyAlignment="1">
      <alignment horizontal="center" vertical="center" wrapText="1"/>
    </xf>
    <xf numFmtId="0" fontId="29" fillId="32" borderId="12" xfId="0" applyFont="1" applyFill="1" applyBorder="1" applyAlignment="1">
      <alignment horizontal="left" vertical="top" wrapText="1"/>
    </xf>
    <xf numFmtId="0" fontId="30" fillId="32" borderId="12" xfId="0" applyFont="1" applyFill="1" applyBorder="1" applyAlignment="1">
      <alignment horizontal="left" vertical="top" wrapText="1"/>
    </xf>
    <xf numFmtId="1" fontId="30" fillId="29" borderId="12" xfId="0" applyNumberFormat="1" applyFont="1" applyFill="1" applyBorder="1" applyAlignment="1">
      <alignment horizontal="center" vertical="center" wrapText="1"/>
    </xf>
    <xf numFmtId="1" fontId="30" fillId="32" borderId="12" xfId="0" applyNumberFormat="1" applyFont="1" applyFill="1" applyBorder="1" applyAlignment="1">
      <alignment horizontal="center" vertical="center" wrapText="1"/>
    </xf>
    <xf numFmtId="0" fontId="32" fillId="28" borderId="12" xfId="0" applyFont="1" applyFill="1" applyBorder="1" applyAlignment="1">
      <alignment horizontal="left" vertical="center" wrapText="1"/>
    </xf>
    <xf numFmtId="1" fontId="32" fillId="28" borderId="12" xfId="0" applyNumberFormat="1" applyFont="1" applyFill="1" applyBorder="1" applyAlignment="1">
      <alignment horizontal="center" vertical="center" wrapText="1"/>
    </xf>
    <xf numFmtId="0" fontId="33" fillId="0" borderId="0" xfId="0" applyFont="1" applyAlignment="1">
      <alignment horizontal="left" vertical="center" wrapText="1"/>
    </xf>
    <xf numFmtId="0" fontId="18" fillId="0" borderId="2" xfId="0" applyFont="1" applyBorder="1" applyAlignment="1">
      <alignment vertical="top" wrapText="1"/>
    </xf>
    <xf numFmtId="0" fontId="6" fillId="0" borderId="2" xfId="0" applyFont="1" applyBorder="1" applyAlignment="1">
      <alignment horizontal="center" vertical="center" wrapText="1"/>
    </xf>
    <xf numFmtId="0" fontId="28" fillId="33" borderId="12" xfId="0" applyFont="1" applyFill="1" applyBorder="1" applyAlignment="1">
      <alignment horizontal="center" vertical="center" wrapText="1"/>
    </xf>
    <xf numFmtId="164" fontId="28" fillId="33" borderId="12" xfId="0" applyNumberFormat="1" applyFont="1" applyFill="1" applyBorder="1" applyAlignment="1">
      <alignment horizontal="center" vertical="center" wrapText="1"/>
    </xf>
    <xf numFmtId="0" fontId="29" fillId="33" borderId="12" xfId="0" applyFont="1" applyFill="1" applyBorder="1" applyAlignment="1">
      <alignment horizontal="left" vertical="center" wrapText="1"/>
    </xf>
    <xf numFmtId="164" fontId="31" fillId="30" borderId="12" xfId="0" applyNumberFormat="1" applyFont="1" applyFill="1" applyBorder="1" applyAlignment="1">
      <alignment horizontal="left" vertical="center" wrapText="1"/>
    </xf>
    <xf numFmtId="164" fontId="18" fillId="8" borderId="2" xfId="0" applyNumberFormat="1" applyFont="1" applyFill="1" applyBorder="1" applyAlignment="1">
      <alignment horizontal="left" vertical="center" wrapText="1"/>
    </xf>
    <xf numFmtId="0" fontId="0" fillId="0" borderId="4" xfId="0" applyBorder="1"/>
    <xf numFmtId="0" fontId="28" fillId="33" borderId="12" xfId="0" applyFont="1" applyFill="1" applyBorder="1" applyAlignment="1">
      <alignment horizontal="center" vertical="center" wrapText="1"/>
    </xf>
    <xf numFmtId="0" fontId="31" fillId="30" borderId="12" xfId="0" applyFont="1" applyFill="1" applyBorder="1" applyAlignment="1">
      <alignment vertical="top" wrapText="1"/>
    </xf>
    <xf numFmtId="0" fontId="31" fillId="30" borderId="12" xfId="0" applyFont="1" applyFill="1" applyBorder="1"/>
    <xf numFmtId="165" fontId="19" fillId="5" borderId="2" xfId="0" applyNumberFormat="1" applyFont="1" applyFill="1" applyBorder="1" applyAlignment="1">
      <alignment horizontal="left" vertical="center" wrapText="1"/>
    </xf>
    <xf numFmtId="0" fontId="0" fillId="0" borderId="3" xfId="0" applyBorder="1"/>
    <xf numFmtId="0" fontId="27" fillId="28" borderId="0" xfId="0" applyFont="1" applyFill="1" applyAlignment="1">
      <alignment horizontal="left" vertical="center" wrapText="1"/>
    </xf>
    <xf numFmtId="0" fontId="5" fillId="2" borderId="0" xfId="0" applyFont="1" applyFill="1" applyAlignment="1">
      <alignment horizontal="left" vertical="center" wrapText="1"/>
    </xf>
    <xf numFmtId="0" fontId="0" fillId="0" borderId="0" xfId="0"/>
    <xf numFmtId="0" fontId="31" fillId="30" borderId="12" xfId="0" applyFont="1" applyFill="1" applyBorder="1" applyAlignment="1">
      <alignment horizontal="left" vertical="center" wrapText="1"/>
    </xf>
    <xf numFmtId="0" fontId="18" fillId="8" borderId="2" xfId="0" applyFont="1" applyFill="1" applyBorder="1" applyAlignment="1">
      <alignment horizontal="left" vertical="center" wrapText="1"/>
    </xf>
    <xf numFmtId="0" fontId="16" fillId="0" borderId="0" xfId="0" applyFont="1" applyAlignment="1">
      <alignment horizontal="left" vertical="center" wrapText="1"/>
    </xf>
    <xf numFmtId="0" fontId="34" fillId="0" borderId="0" xfId="0" applyFont="1" applyAlignment="1">
      <alignment vertical="top" wrapText="1"/>
    </xf>
    <xf numFmtId="0" fontId="27" fillId="31" borderId="2" xfId="0" applyFont="1" applyFill="1" applyBorder="1" applyAlignment="1">
      <alignment horizontal="left" vertical="center" wrapText="1"/>
    </xf>
    <xf numFmtId="0" fontId="27" fillId="31" borderId="3" xfId="0" applyFont="1" applyFill="1" applyBorder="1" applyAlignment="1">
      <alignment horizontal="left" vertical="center" wrapText="1"/>
    </xf>
    <xf numFmtId="0" fontId="27" fillId="31" borderId="4" xfId="0" applyFont="1" applyFill="1" applyBorder="1" applyAlignment="1">
      <alignment horizontal="left" vertical="center" wrapText="1"/>
    </xf>
    <xf numFmtId="0" fontId="19" fillId="5" borderId="2" xfId="0" applyFont="1" applyFill="1" applyBorder="1" applyAlignment="1">
      <alignment horizontal="left" vertical="center"/>
    </xf>
    <xf numFmtId="0" fontId="15" fillId="0" borderId="0" xfId="0" applyFont="1" applyAlignment="1">
      <alignment horizontal="left" vertical="center" wrapText="1"/>
    </xf>
    <xf numFmtId="0" fontId="20" fillId="3" borderId="0" xfId="0" applyFont="1" applyFill="1" applyAlignment="1">
      <alignment vertical="top" wrapText="1"/>
    </xf>
    <xf numFmtId="0" fontId="5" fillId="4" borderId="0" xfId="0" applyFont="1" applyFill="1" applyAlignment="1">
      <alignment horizontal="left" vertical="center" wrapText="1"/>
    </xf>
    <xf numFmtId="0" fontId="4" fillId="0" borderId="0" xfId="0" applyFont="1" applyAlignment="1">
      <alignment horizontal="left" vertical="center" wrapText="1"/>
    </xf>
    <xf numFmtId="0" fontId="8" fillId="5" borderId="2" xfId="0" applyFont="1" applyFill="1" applyBorder="1" applyAlignment="1">
      <alignment horizontal="left" vertical="center" wrapText="1"/>
    </xf>
    <xf numFmtId="0" fontId="1" fillId="5" borderId="0" xfId="0" applyFont="1" applyFill="1" applyAlignment="1">
      <alignment horizontal="left" vertical="center" wrapText="1"/>
    </xf>
    <xf numFmtId="0" fontId="1" fillId="3" borderId="1" xfId="0" applyFont="1" applyFill="1" applyBorder="1" applyAlignment="1">
      <alignment horizontal="left" vertical="top" wrapText="1"/>
    </xf>
    <xf numFmtId="0" fontId="0" fillId="0" borderId="5" xfId="0"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0" xfId="0" applyFont="1" applyAlignment="1">
      <alignment horizontal="left" vertical="center" wrapText="1"/>
    </xf>
    <xf numFmtId="0" fontId="5" fillId="2" borderId="0" xfId="0" applyFont="1" applyFill="1"/>
    <xf numFmtId="0" fontId="5" fillId="13" borderId="0" xfId="0" applyFont="1" applyFill="1"/>
    <xf numFmtId="0" fontId="6" fillId="7" borderId="2" xfId="0" applyFont="1" applyFill="1" applyBorder="1" applyAlignment="1">
      <alignment horizontal="left" vertical="center" wrapText="1"/>
    </xf>
    <xf numFmtId="0" fontId="2" fillId="0" borderId="0" xfId="0" applyFont="1" applyAlignment="1">
      <alignment horizontal="left" vertical="center" wrapText="1"/>
    </xf>
    <xf numFmtId="0" fontId="1" fillId="6" borderId="0" xfId="0" applyFont="1" applyFill="1" applyAlignment="1">
      <alignment horizontal="left" vertical="center" wrapText="1"/>
    </xf>
    <xf numFmtId="0" fontId="14" fillId="8" borderId="2" xfId="0" applyFont="1" applyFill="1" applyBorder="1" applyAlignment="1">
      <alignment horizontal="left" vertical="center" wrapText="1"/>
    </xf>
    <xf numFmtId="0" fontId="15" fillId="0" borderId="0" xfId="0" applyFont="1" applyAlignment="1">
      <alignment vertical="top" wrapText="1"/>
    </xf>
    <xf numFmtId="0" fontId="15" fillId="0" borderId="0" xfId="0" applyFont="1" applyAlignment="1">
      <alignment vertical="center" wrapText="1"/>
    </xf>
  </cellXfs>
  <cellStyles count="1">
    <cellStyle name="Normal" xfId="0" builtinId="0"/>
  </cellStyles>
  <dxfs count="12">
    <dxf>
      <font>
        <b/>
        <sz val="16"/>
        <color rgb="FFB54708"/>
        <name val="Arial"/>
      </font>
      <fill>
        <patternFill patternType="solid">
          <fgColor rgb="FFFEF4E0"/>
        </patternFill>
      </fill>
    </dxf>
    <dxf>
      <font>
        <b/>
        <sz val="16"/>
        <color rgb="FF52606D"/>
        <name val="Arial"/>
      </font>
      <fill>
        <patternFill patternType="solid">
          <fgColor rgb="FFEEF1F4"/>
        </patternFill>
      </fill>
    </dxf>
    <dxf>
      <font>
        <b/>
        <sz val="16"/>
        <color rgb="FFB42318"/>
        <name val="Arial"/>
      </font>
      <fill>
        <patternFill patternType="solid">
          <fgColor rgb="FFFDECEC"/>
        </patternFill>
      </fill>
    </dxf>
    <dxf>
      <font>
        <b/>
        <sz val="16"/>
        <color rgb="FF1E7A46"/>
        <name val="Arial"/>
      </font>
      <fill>
        <patternFill patternType="solid">
          <fgColor rgb="FFE5F6E8"/>
        </patternFill>
      </fill>
    </dxf>
    <dxf>
      <font>
        <sz val="10"/>
        <color rgb="FF52606D"/>
        <name val="Arial"/>
      </font>
      <fill>
        <patternFill patternType="solid">
          <fgColor rgb="FFEEF1F4"/>
        </patternFill>
      </fill>
    </dxf>
    <dxf>
      <font>
        <b/>
        <sz val="10"/>
        <color rgb="FFB54708"/>
        <name val="Arial"/>
      </font>
      <fill>
        <patternFill patternType="solid">
          <fgColor rgb="FFFEF4E0"/>
        </patternFill>
      </fill>
    </dxf>
    <dxf>
      <font>
        <b/>
        <sz val="10"/>
        <color rgb="FFB42318"/>
        <name val="Arial"/>
      </font>
      <fill>
        <patternFill patternType="solid">
          <fgColor rgb="FFFDECEC"/>
        </patternFill>
      </fill>
    </dxf>
    <dxf>
      <font>
        <b/>
        <sz val="10"/>
        <color rgb="FF1E7A46"/>
        <name val="Arial"/>
      </font>
      <fill>
        <patternFill patternType="solid">
          <fgColor rgb="FFE5F6E8"/>
        </patternFill>
      </fill>
    </dxf>
    <dxf>
      <font>
        <sz val="10"/>
        <color rgb="FF52606D"/>
        <name val="Arial"/>
      </font>
      <fill>
        <patternFill patternType="solid">
          <fgColor rgb="FFEEF1F4"/>
        </patternFill>
      </fill>
    </dxf>
    <dxf>
      <font>
        <b/>
        <sz val="10"/>
        <color rgb="FFB54708"/>
        <name val="Arial"/>
      </font>
      <fill>
        <patternFill patternType="solid">
          <fgColor rgb="FFFEF4E0"/>
        </patternFill>
      </fill>
    </dxf>
    <dxf>
      <font>
        <b/>
        <sz val="10"/>
        <color rgb="FFB42318"/>
        <name val="Arial"/>
      </font>
      <fill>
        <patternFill patternType="solid">
          <fgColor rgb="FFFDECEC"/>
        </patternFill>
      </fill>
    </dxf>
    <dxf>
      <font>
        <b/>
        <sz val="10"/>
        <color rgb="FF1E7A46"/>
        <name val="Arial"/>
      </font>
      <fill>
        <patternFill patternType="solid">
          <fgColor rgb="FFE5F6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6E6E"/>
    <pageSetUpPr fitToPage="1"/>
  </sheetPr>
  <dimension ref="B1:F32"/>
  <sheetViews>
    <sheetView showGridLines="0" topLeftCell="A14" zoomScale="120" workbookViewId="0"/>
  </sheetViews>
  <sheetFormatPr baseColWidth="10" defaultColWidth="8.83203125" defaultRowHeight="15" x14ac:dyDescent="0.2"/>
  <cols>
    <col min="1" max="1" width="3" customWidth="1"/>
    <col min="2" max="2" width="36" customWidth="1"/>
    <col min="3" max="3" width="28" customWidth="1"/>
    <col min="4" max="4" width="22" customWidth="1"/>
    <col min="5" max="5" width="18" customWidth="1"/>
    <col min="6" max="6" width="28" customWidth="1"/>
    <col min="7" max="7" width="3" customWidth="1"/>
  </cols>
  <sheetData>
    <row r="1" spans="2:6" ht="10" customHeight="1" x14ac:dyDescent="0.2"/>
    <row r="2" spans="2:6" ht="20" customHeight="1" x14ac:dyDescent="0.2">
      <c r="B2" s="162" t="s">
        <v>42</v>
      </c>
      <c r="C2" s="135"/>
      <c r="D2" s="135"/>
      <c r="E2" s="135"/>
      <c r="F2" s="135"/>
    </row>
    <row r="3" spans="2:6" ht="32" customHeight="1" x14ac:dyDescent="0.2">
      <c r="B3" s="158" t="s">
        <v>43</v>
      </c>
      <c r="C3" s="135"/>
      <c r="D3" s="135"/>
      <c r="E3" s="135"/>
      <c r="F3" s="135"/>
    </row>
    <row r="4" spans="2:6" ht="22" customHeight="1" x14ac:dyDescent="0.2">
      <c r="B4" s="147" t="s">
        <v>44</v>
      </c>
      <c r="C4" s="135"/>
      <c r="D4" s="135"/>
      <c r="E4" s="135"/>
      <c r="F4" s="135"/>
    </row>
    <row r="6" spans="2:6" ht="24" customHeight="1" x14ac:dyDescent="0.2">
      <c r="B6" s="134" t="s">
        <v>45</v>
      </c>
      <c r="C6" s="135"/>
      <c r="D6" s="135"/>
      <c r="E6" s="135"/>
      <c r="F6" s="135"/>
    </row>
    <row r="7" spans="2:6" ht="22" customHeight="1" x14ac:dyDescent="0.2">
      <c r="B7" s="150" t="s">
        <v>46</v>
      </c>
      <c r="C7" s="151"/>
      <c r="D7" s="151"/>
      <c r="E7" s="151"/>
      <c r="F7" s="152"/>
    </row>
    <row r="8" spans="2:6" ht="32" customHeight="1" x14ac:dyDescent="0.2">
      <c r="B8" s="153"/>
      <c r="C8" s="135"/>
      <c r="D8" s="135"/>
      <c r="E8" s="135"/>
      <c r="F8" s="154"/>
    </row>
    <row r="9" spans="2:6" ht="36" customHeight="1" x14ac:dyDescent="0.2">
      <c r="B9" s="155"/>
      <c r="C9" s="156"/>
      <c r="D9" s="156"/>
      <c r="E9" s="156"/>
      <c r="F9" s="157"/>
    </row>
    <row r="11" spans="2:6" ht="24" customHeight="1" x14ac:dyDescent="0.2">
      <c r="B11" s="146" t="s">
        <v>47</v>
      </c>
      <c r="C11" s="135"/>
      <c r="D11" s="135"/>
      <c r="E11" s="135"/>
      <c r="F11" s="135"/>
    </row>
    <row r="12" spans="2:6" ht="32" customHeight="1" x14ac:dyDescent="0.2">
      <c r="B12" s="149" t="s">
        <v>48</v>
      </c>
      <c r="C12" s="135"/>
      <c r="D12" s="135"/>
      <c r="E12" s="135"/>
      <c r="F12" s="135"/>
    </row>
    <row r="13" spans="2:6" ht="32" customHeight="1" x14ac:dyDescent="0.2">
      <c r="B13" s="163" t="s">
        <v>49</v>
      </c>
      <c r="C13" s="135"/>
      <c r="D13" s="135"/>
      <c r="E13" s="135"/>
      <c r="F13" s="135"/>
    </row>
    <row r="14" spans="2:6" ht="32" customHeight="1" x14ac:dyDescent="0.2">
      <c r="B14" s="149" t="s">
        <v>50</v>
      </c>
      <c r="C14" s="135"/>
      <c r="D14" s="135"/>
      <c r="E14" s="135"/>
      <c r="F14" s="135"/>
    </row>
    <row r="15" spans="2:6" ht="32" customHeight="1" x14ac:dyDescent="0.2">
      <c r="B15" s="163" t="s">
        <v>51</v>
      </c>
      <c r="C15" s="135"/>
      <c r="D15" s="135"/>
      <c r="E15" s="135"/>
      <c r="F15" s="135"/>
    </row>
    <row r="16" spans="2:6" ht="32" customHeight="1" x14ac:dyDescent="0.2">
      <c r="B16" s="149" t="s">
        <v>52</v>
      </c>
      <c r="C16" s="135"/>
      <c r="D16" s="135"/>
      <c r="E16" s="135"/>
      <c r="F16" s="135"/>
    </row>
    <row r="18" spans="2:6" ht="24" customHeight="1" x14ac:dyDescent="0.2">
      <c r="B18" s="159" t="s">
        <v>53</v>
      </c>
      <c r="C18" s="135"/>
      <c r="D18" s="135"/>
      <c r="E18" s="135"/>
      <c r="F18" s="135"/>
    </row>
    <row r="19" spans="2:6" x14ac:dyDescent="0.2">
      <c r="B19" s="1" t="s">
        <v>54</v>
      </c>
      <c r="C19" s="1" t="s">
        <v>55</v>
      </c>
      <c r="D19" s="161" t="s">
        <v>56</v>
      </c>
      <c r="E19" s="132"/>
      <c r="F19" s="127"/>
    </row>
    <row r="20" spans="2:6" ht="22" customHeight="1" x14ac:dyDescent="0.2">
      <c r="B20" s="2" t="s">
        <v>57</v>
      </c>
      <c r="C20" s="148" t="s">
        <v>58</v>
      </c>
      <c r="D20" s="132"/>
      <c r="E20" s="132"/>
      <c r="F20" s="127"/>
    </row>
    <row r="21" spans="2:6" ht="22" customHeight="1" x14ac:dyDescent="0.2">
      <c r="B21" s="3" t="s">
        <v>59</v>
      </c>
      <c r="C21" s="148" t="s">
        <v>60</v>
      </c>
      <c r="D21" s="132"/>
      <c r="E21" s="132"/>
      <c r="F21" s="127"/>
    </row>
    <row r="22" spans="2:6" ht="22" customHeight="1" x14ac:dyDescent="0.2">
      <c r="B22" s="4" t="s">
        <v>61</v>
      </c>
      <c r="C22" s="148" t="s">
        <v>62</v>
      </c>
      <c r="D22" s="132"/>
      <c r="E22" s="132"/>
      <c r="F22" s="127"/>
    </row>
    <row r="23" spans="2:6" ht="22" customHeight="1" x14ac:dyDescent="0.2">
      <c r="B23" s="5" t="s">
        <v>63</v>
      </c>
      <c r="C23" s="148" t="s">
        <v>64</v>
      </c>
      <c r="D23" s="132"/>
      <c r="E23" s="132"/>
      <c r="F23" s="127"/>
    </row>
    <row r="24" spans="2:6" ht="22" customHeight="1" x14ac:dyDescent="0.2">
      <c r="B24" s="6" t="s">
        <v>16</v>
      </c>
      <c r="C24" s="148" t="s">
        <v>65</v>
      </c>
      <c r="D24" s="132"/>
      <c r="E24" s="132"/>
      <c r="F24" s="127"/>
    </row>
    <row r="25" spans="2:6" ht="22" customHeight="1" x14ac:dyDescent="0.2">
      <c r="B25" s="7" t="s">
        <v>17</v>
      </c>
      <c r="C25" s="148" t="s">
        <v>66</v>
      </c>
      <c r="D25" s="132"/>
      <c r="E25" s="132"/>
      <c r="F25" s="127"/>
    </row>
    <row r="27" spans="2:6" ht="24" customHeight="1" x14ac:dyDescent="0.2">
      <c r="B27" s="160" t="s">
        <v>67</v>
      </c>
      <c r="C27" s="135"/>
      <c r="D27" s="135"/>
      <c r="E27" s="135"/>
      <c r="F27" s="135"/>
    </row>
    <row r="28" spans="2:6" x14ac:dyDescent="0.2">
      <c r="B28" s="1" t="s">
        <v>68</v>
      </c>
      <c r="C28" s="8" t="s">
        <v>5</v>
      </c>
      <c r="D28" s="161" t="s">
        <v>69</v>
      </c>
      <c r="E28" s="132"/>
      <c r="F28" s="127"/>
    </row>
    <row r="29" spans="2:6" ht="24" customHeight="1" x14ac:dyDescent="0.2">
      <c r="B29" s="9" t="s">
        <v>70</v>
      </c>
      <c r="C29" s="10" t="s">
        <v>61</v>
      </c>
      <c r="D29" s="164" t="s">
        <v>71</v>
      </c>
      <c r="E29" s="132"/>
      <c r="F29" s="127"/>
    </row>
    <row r="31" spans="2:6" ht="20" customHeight="1" x14ac:dyDescent="0.2">
      <c r="B31" s="165" t="s">
        <v>72</v>
      </c>
      <c r="C31" s="135"/>
      <c r="D31" s="135"/>
      <c r="E31" s="135"/>
      <c r="F31" s="135"/>
    </row>
    <row r="32" spans="2:6" ht="32" customHeight="1" x14ac:dyDescent="0.2">
      <c r="B32" s="135"/>
      <c r="C32" s="135"/>
      <c r="D32" s="135"/>
      <c r="E32" s="135"/>
      <c r="F32" s="135"/>
    </row>
  </sheetData>
  <mergeCells count="23">
    <mergeCell ref="D29:F29"/>
    <mergeCell ref="C20:F20"/>
    <mergeCell ref="B31:F32"/>
    <mergeCell ref="C25:F25"/>
    <mergeCell ref="C22:F22"/>
    <mergeCell ref="C21:F21"/>
    <mergeCell ref="B27:F27"/>
    <mergeCell ref="B12:F12"/>
    <mergeCell ref="D28:F28"/>
    <mergeCell ref="B2:F2"/>
    <mergeCell ref="B11:F11"/>
    <mergeCell ref="B14:F14"/>
    <mergeCell ref="C24:F24"/>
    <mergeCell ref="B13:F13"/>
    <mergeCell ref="D19:F19"/>
    <mergeCell ref="B6:F6"/>
    <mergeCell ref="B15:F15"/>
    <mergeCell ref="B4:F4"/>
    <mergeCell ref="C23:F23"/>
    <mergeCell ref="B16:F16"/>
    <mergeCell ref="B7:F9"/>
    <mergeCell ref="B3:F3"/>
    <mergeCell ref="B18:F18"/>
  </mergeCells>
  <printOptions horizontalCentered="1"/>
  <pageMargins left="0.45" right="0.45" top="0.6" bottom="0.5" header="0.25" footer="0.25"/>
  <pageSetup paperSize="9" orientation="portrait"/>
  <headerFooter>
    <oddHeader>&amp;L&amp;"Arial"&amp;9</oddHeader>
    <oddFooter>&amp;L&amp;"Arial"&amp;8 Channeling UAT&amp;R&amp;"Arial"&amp;8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pageSetUpPr fitToPage="1"/>
  </sheetPr>
  <dimension ref="A1:H97"/>
  <sheetViews>
    <sheetView showGridLines="0" zoomScale="110" workbookViewId="0">
      <pane ySplit="4" topLeftCell="A56" activePane="bottomLeft" state="frozen"/>
      <selection pane="bottomLeft" sqref="A1:H1"/>
    </sheetView>
  </sheetViews>
  <sheetFormatPr baseColWidth="10" defaultColWidth="8.83203125" defaultRowHeight="15" x14ac:dyDescent="0.2"/>
  <cols>
    <col min="1" max="1" width="12" customWidth="1"/>
    <col min="2" max="2" width="18" customWidth="1"/>
    <col min="3" max="3" width="16" customWidth="1"/>
    <col min="4" max="4" width="42" customWidth="1"/>
    <col min="5" max="5" width="62" customWidth="1"/>
    <col min="6" max="6" width="52" customWidth="1"/>
    <col min="7" max="7" width="14" customWidth="1"/>
    <col min="8" max="8" width="32" customWidth="1"/>
  </cols>
  <sheetData>
    <row r="1" spans="1:8" ht="28" customHeight="1" x14ac:dyDescent="0.2">
      <c r="A1" s="138" t="s">
        <v>73</v>
      </c>
      <c r="B1" s="135"/>
      <c r="C1" s="135"/>
      <c r="D1" s="135"/>
      <c r="E1" s="135"/>
      <c r="F1" s="135"/>
      <c r="G1" s="135"/>
      <c r="H1" s="135"/>
    </row>
    <row r="2" spans="1:8" ht="32" customHeight="1" x14ac:dyDescent="0.2">
      <c r="A2" s="166" t="s">
        <v>74</v>
      </c>
      <c r="B2" s="135"/>
      <c r="C2" s="135"/>
      <c r="D2" s="135"/>
      <c r="E2" s="135"/>
      <c r="F2" s="135"/>
      <c r="G2" s="135"/>
      <c r="H2" s="135"/>
    </row>
    <row r="3" spans="1:8" ht="8" customHeight="1" x14ac:dyDescent="0.2"/>
    <row r="4" spans="1:8" ht="22" customHeight="1" x14ac:dyDescent="0.2">
      <c r="A4" s="11" t="s">
        <v>68</v>
      </c>
      <c r="B4" s="11" t="s">
        <v>20</v>
      </c>
      <c r="C4" s="11" t="s">
        <v>75</v>
      </c>
      <c r="D4" s="11" t="s">
        <v>76</v>
      </c>
      <c r="E4" s="11" t="s">
        <v>77</v>
      </c>
      <c r="F4" s="11" t="s">
        <v>78</v>
      </c>
      <c r="G4" s="11" t="s">
        <v>5</v>
      </c>
      <c r="H4" s="11" t="s">
        <v>69</v>
      </c>
    </row>
    <row r="5" spans="1:8" ht="24" customHeight="1" x14ac:dyDescent="0.2">
      <c r="A5" s="12" t="s">
        <v>79</v>
      </c>
      <c r="B5" s="12"/>
      <c r="C5" s="12"/>
      <c r="D5" s="12" t="s">
        <v>80</v>
      </c>
      <c r="E5" s="12"/>
      <c r="F5" s="12"/>
      <c r="G5" s="12"/>
      <c r="H5" s="12"/>
    </row>
    <row r="6" spans="1:8" ht="38" customHeight="1" x14ac:dyDescent="0.2">
      <c r="A6" s="13" t="s">
        <v>81</v>
      </c>
      <c r="B6" s="3" t="s">
        <v>21</v>
      </c>
      <c r="C6" s="14" t="s">
        <v>82</v>
      </c>
      <c r="D6" s="15" t="s">
        <v>83</v>
      </c>
      <c r="E6" s="16" t="s">
        <v>84</v>
      </c>
      <c r="F6" s="16" t="s">
        <v>85</v>
      </c>
      <c r="G6" s="17"/>
      <c r="H6" s="18"/>
    </row>
    <row r="7" spans="1:8" ht="38" customHeight="1" x14ac:dyDescent="0.2">
      <c r="A7" s="19" t="s">
        <v>86</v>
      </c>
      <c r="B7" s="20" t="s">
        <v>22</v>
      </c>
      <c r="C7" s="21" t="s">
        <v>82</v>
      </c>
      <c r="D7" s="22" t="s">
        <v>87</v>
      </c>
      <c r="E7" s="23" t="s">
        <v>88</v>
      </c>
      <c r="F7" s="23" t="s">
        <v>89</v>
      </c>
      <c r="G7" s="17"/>
      <c r="H7" s="18"/>
    </row>
    <row r="8" spans="1:8" ht="83" customHeight="1" x14ac:dyDescent="0.2">
      <c r="A8" s="24" t="s">
        <v>90</v>
      </c>
      <c r="B8" s="25" t="s">
        <v>23</v>
      </c>
      <c r="C8" s="26" t="s">
        <v>82</v>
      </c>
      <c r="D8" s="27" t="s">
        <v>91</v>
      </c>
      <c r="E8" s="28" t="s">
        <v>92</v>
      </c>
      <c r="F8" s="28" t="s">
        <v>93</v>
      </c>
      <c r="G8" s="17"/>
      <c r="H8" s="18"/>
    </row>
    <row r="9" spans="1:8" ht="68" customHeight="1" x14ac:dyDescent="0.2">
      <c r="A9" s="24" t="s">
        <v>94</v>
      </c>
      <c r="B9" s="25" t="s">
        <v>23</v>
      </c>
      <c r="C9" s="26" t="s">
        <v>82</v>
      </c>
      <c r="D9" s="27" t="s">
        <v>95</v>
      </c>
      <c r="E9" s="28" t="s">
        <v>96</v>
      </c>
      <c r="F9" s="28" t="s">
        <v>97</v>
      </c>
      <c r="G9" s="17"/>
      <c r="H9" s="18"/>
    </row>
    <row r="10" spans="1:8" ht="68" customHeight="1" x14ac:dyDescent="0.2">
      <c r="A10" s="24" t="s">
        <v>98</v>
      </c>
      <c r="B10" s="25" t="s">
        <v>23</v>
      </c>
      <c r="C10" s="26" t="s">
        <v>82</v>
      </c>
      <c r="D10" s="27" t="s">
        <v>99</v>
      </c>
      <c r="E10" s="28" t="s">
        <v>100</v>
      </c>
      <c r="F10" s="28" t="s">
        <v>101</v>
      </c>
      <c r="G10" s="17"/>
      <c r="H10" s="18"/>
    </row>
    <row r="11" spans="1:8" ht="68" customHeight="1" x14ac:dyDescent="0.2">
      <c r="A11" s="24" t="s">
        <v>102</v>
      </c>
      <c r="B11" s="25" t="s">
        <v>23</v>
      </c>
      <c r="C11" s="26" t="s">
        <v>82</v>
      </c>
      <c r="D11" s="27" t="s">
        <v>103</v>
      </c>
      <c r="E11" s="28" t="s">
        <v>104</v>
      </c>
      <c r="F11" s="28" t="s">
        <v>105</v>
      </c>
      <c r="G11" s="17"/>
      <c r="H11" s="18"/>
    </row>
    <row r="12" spans="1:8" ht="83" customHeight="1" x14ac:dyDescent="0.2">
      <c r="A12" s="29" t="s">
        <v>106</v>
      </c>
      <c r="B12" s="30" t="s">
        <v>24</v>
      </c>
      <c r="C12" s="31" t="s">
        <v>82</v>
      </c>
      <c r="D12" s="32" t="s">
        <v>107</v>
      </c>
      <c r="E12" s="33" t="s">
        <v>108</v>
      </c>
      <c r="F12" s="33" t="s">
        <v>109</v>
      </c>
      <c r="G12" s="17"/>
      <c r="H12" s="18"/>
    </row>
    <row r="13" spans="1:8" ht="68" customHeight="1" x14ac:dyDescent="0.2">
      <c r="A13" s="29" t="s">
        <v>110</v>
      </c>
      <c r="B13" s="30" t="s">
        <v>24</v>
      </c>
      <c r="C13" s="31" t="s">
        <v>82</v>
      </c>
      <c r="D13" s="32" t="s">
        <v>111</v>
      </c>
      <c r="E13" s="33" t="s">
        <v>112</v>
      </c>
      <c r="F13" s="33" t="s">
        <v>113</v>
      </c>
      <c r="G13" s="17"/>
      <c r="H13" s="18"/>
    </row>
    <row r="14" spans="1:8" ht="68" customHeight="1" x14ac:dyDescent="0.2">
      <c r="A14" s="29" t="s">
        <v>114</v>
      </c>
      <c r="B14" s="30" t="s">
        <v>24</v>
      </c>
      <c r="C14" s="31" t="s">
        <v>82</v>
      </c>
      <c r="D14" s="32" t="s">
        <v>115</v>
      </c>
      <c r="E14" s="33" t="s">
        <v>116</v>
      </c>
      <c r="F14" s="33" t="s">
        <v>117</v>
      </c>
      <c r="G14" s="17"/>
      <c r="H14" s="18"/>
    </row>
    <row r="15" spans="1:8" ht="38" customHeight="1" x14ac:dyDescent="0.2">
      <c r="A15" s="29" t="s">
        <v>118</v>
      </c>
      <c r="B15" s="30" t="s">
        <v>24</v>
      </c>
      <c r="C15" s="31" t="s">
        <v>82</v>
      </c>
      <c r="D15" s="32" t="s">
        <v>119</v>
      </c>
      <c r="E15" s="33" t="s">
        <v>120</v>
      </c>
      <c r="F15" s="33" t="s">
        <v>121</v>
      </c>
      <c r="G15" s="17"/>
      <c r="H15" s="18"/>
    </row>
    <row r="16" spans="1:8" ht="53" customHeight="1" x14ac:dyDescent="0.2">
      <c r="A16" s="34" t="s">
        <v>122</v>
      </c>
      <c r="B16" s="35" t="s">
        <v>25</v>
      </c>
      <c r="C16" s="36" t="s">
        <v>82</v>
      </c>
      <c r="D16" s="37" t="s">
        <v>123</v>
      </c>
      <c r="E16" s="38" t="s">
        <v>124</v>
      </c>
      <c r="F16" s="38" t="s">
        <v>125</v>
      </c>
      <c r="G16" s="17"/>
      <c r="H16" s="18"/>
    </row>
    <row r="17" spans="1:8" ht="53" customHeight="1" x14ac:dyDescent="0.2">
      <c r="A17" s="34" t="s">
        <v>126</v>
      </c>
      <c r="B17" s="35" t="s">
        <v>25</v>
      </c>
      <c r="C17" s="36" t="s">
        <v>82</v>
      </c>
      <c r="D17" s="37" t="s">
        <v>127</v>
      </c>
      <c r="E17" s="38" t="s">
        <v>128</v>
      </c>
      <c r="F17" s="38" t="s">
        <v>129</v>
      </c>
      <c r="G17" s="17"/>
      <c r="H17" s="18"/>
    </row>
    <row r="18" spans="1:8" ht="53" customHeight="1" x14ac:dyDescent="0.2">
      <c r="A18" s="39" t="s">
        <v>130</v>
      </c>
      <c r="B18" s="40" t="s">
        <v>26</v>
      </c>
      <c r="C18" s="41" t="s">
        <v>82</v>
      </c>
      <c r="D18" s="42" t="s">
        <v>131</v>
      </c>
      <c r="E18" s="43" t="s">
        <v>132</v>
      </c>
      <c r="F18" s="43" t="s">
        <v>133</v>
      </c>
      <c r="G18" s="17"/>
      <c r="H18" s="18"/>
    </row>
    <row r="19" spans="1:8" ht="53" customHeight="1" x14ac:dyDescent="0.2">
      <c r="A19" s="39" t="s">
        <v>134</v>
      </c>
      <c r="B19" s="40" t="s">
        <v>26</v>
      </c>
      <c r="C19" s="41" t="s">
        <v>82</v>
      </c>
      <c r="D19" s="42" t="s">
        <v>135</v>
      </c>
      <c r="E19" s="43" t="s">
        <v>136</v>
      </c>
      <c r="F19" s="43" t="s">
        <v>137</v>
      </c>
      <c r="G19" s="17"/>
      <c r="H19" s="18"/>
    </row>
    <row r="20" spans="1:8" ht="68" customHeight="1" x14ac:dyDescent="0.2">
      <c r="A20" s="44" t="s">
        <v>138</v>
      </c>
      <c r="B20" s="45" t="s">
        <v>27</v>
      </c>
      <c r="C20" s="46" t="s">
        <v>82</v>
      </c>
      <c r="D20" s="47" t="s">
        <v>139</v>
      </c>
      <c r="E20" s="48" t="s">
        <v>140</v>
      </c>
      <c r="F20" s="48" t="s">
        <v>141</v>
      </c>
      <c r="G20" s="17"/>
      <c r="H20" s="18"/>
    </row>
    <row r="21" spans="1:8" ht="53" customHeight="1" x14ac:dyDescent="0.2">
      <c r="A21" s="44" t="s">
        <v>142</v>
      </c>
      <c r="B21" s="45" t="s">
        <v>27</v>
      </c>
      <c r="C21" s="46" t="s">
        <v>82</v>
      </c>
      <c r="D21" s="47" t="s">
        <v>143</v>
      </c>
      <c r="E21" s="48" t="s">
        <v>144</v>
      </c>
      <c r="F21" s="48" t="s">
        <v>145</v>
      </c>
      <c r="G21" s="17"/>
      <c r="H21" s="18"/>
    </row>
    <row r="22" spans="1:8" ht="68" customHeight="1" x14ac:dyDescent="0.2">
      <c r="A22" s="49" t="s">
        <v>146</v>
      </c>
      <c r="B22" s="50" t="s">
        <v>28</v>
      </c>
      <c r="C22" s="51" t="s">
        <v>82</v>
      </c>
      <c r="D22" s="52" t="s">
        <v>147</v>
      </c>
      <c r="E22" s="53" t="s">
        <v>148</v>
      </c>
      <c r="F22" s="53" t="s">
        <v>149</v>
      </c>
      <c r="G22" s="17"/>
      <c r="H22" s="18"/>
    </row>
    <row r="23" spans="1:8" ht="68" customHeight="1" x14ac:dyDescent="0.2">
      <c r="A23" s="54" t="s">
        <v>150</v>
      </c>
      <c r="B23" s="55" t="s">
        <v>29</v>
      </c>
      <c r="C23" s="56" t="s">
        <v>82</v>
      </c>
      <c r="D23" s="57" t="s">
        <v>151</v>
      </c>
      <c r="E23" s="58" t="s">
        <v>152</v>
      </c>
      <c r="F23" s="58" t="s">
        <v>153</v>
      </c>
      <c r="G23" s="17"/>
      <c r="H23" s="18"/>
    </row>
    <row r="24" spans="1:8" ht="68" customHeight="1" x14ac:dyDescent="0.2">
      <c r="A24" s="59" t="s">
        <v>154</v>
      </c>
      <c r="B24" s="60" t="s">
        <v>30</v>
      </c>
      <c r="C24" s="61" t="s">
        <v>82</v>
      </c>
      <c r="D24" s="62" t="s">
        <v>155</v>
      </c>
      <c r="E24" s="63" t="s">
        <v>156</v>
      </c>
      <c r="F24" s="63" t="s">
        <v>157</v>
      </c>
      <c r="G24" s="17"/>
      <c r="H24" s="18"/>
    </row>
    <row r="25" spans="1:8" ht="53" customHeight="1" x14ac:dyDescent="0.2">
      <c r="A25" s="59" t="s">
        <v>158</v>
      </c>
      <c r="B25" s="60" t="s">
        <v>30</v>
      </c>
      <c r="C25" s="61" t="s">
        <v>159</v>
      </c>
      <c r="D25" s="62" t="s">
        <v>160</v>
      </c>
      <c r="E25" s="63" t="s">
        <v>161</v>
      </c>
      <c r="F25" s="63" t="s">
        <v>162</v>
      </c>
      <c r="G25" s="17"/>
      <c r="H25" s="18"/>
    </row>
    <row r="26" spans="1:8" ht="53" customHeight="1" x14ac:dyDescent="0.2">
      <c r="A26" s="59" t="s">
        <v>163</v>
      </c>
      <c r="B26" s="60" t="s">
        <v>30</v>
      </c>
      <c r="C26" s="61" t="s">
        <v>82</v>
      </c>
      <c r="D26" s="62" t="s">
        <v>164</v>
      </c>
      <c r="E26" s="63" t="s">
        <v>165</v>
      </c>
      <c r="F26" s="63" t="s">
        <v>166</v>
      </c>
      <c r="G26" s="17"/>
      <c r="H26" s="18"/>
    </row>
    <row r="27" spans="1:8" ht="98" customHeight="1" x14ac:dyDescent="0.2">
      <c r="A27" s="64" t="s">
        <v>167</v>
      </c>
      <c r="B27" s="65" t="s">
        <v>33</v>
      </c>
      <c r="C27" s="66" t="s">
        <v>82</v>
      </c>
      <c r="D27" s="67" t="s">
        <v>168</v>
      </c>
      <c r="E27" s="68" t="s">
        <v>169</v>
      </c>
      <c r="F27" s="68" t="s">
        <v>170</v>
      </c>
      <c r="G27" s="17"/>
      <c r="H27" s="18"/>
    </row>
    <row r="28" spans="1:8" ht="53" customHeight="1" x14ac:dyDescent="0.2">
      <c r="A28" s="64" t="s">
        <v>171</v>
      </c>
      <c r="B28" s="65" t="s">
        <v>33</v>
      </c>
      <c r="C28" s="66" t="s">
        <v>82</v>
      </c>
      <c r="D28" s="67" t="s">
        <v>172</v>
      </c>
      <c r="E28" s="68" t="s">
        <v>173</v>
      </c>
      <c r="F28" s="68" t="s">
        <v>174</v>
      </c>
      <c r="G28" s="17"/>
      <c r="H28" s="18"/>
    </row>
    <row r="29" spans="1:8" ht="83" customHeight="1" x14ac:dyDescent="0.2">
      <c r="A29" s="69" t="s">
        <v>175</v>
      </c>
      <c r="B29" s="70" t="s">
        <v>31</v>
      </c>
      <c r="C29" s="71" t="s">
        <v>82</v>
      </c>
      <c r="D29" s="72" t="s">
        <v>176</v>
      </c>
      <c r="E29" s="73" t="s">
        <v>177</v>
      </c>
      <c r="F29" s="73" t="s">
        <v>178</v>
      </c>
      <c r="G29" s="17"/>
      <c r="H29" s="18"/>
    </row>
    <row r="30" spans="1:8" ht="68" customHeight="1" x14ac:dyDescent="0.2">
      <c r="A30" s="69" t="s">
        <v>179</v>
      </c>
      <c r="B30" s="70" t="s">
        <v>31</v>
      </c>
      <c r="C30" s="71" t="s">
        <v>159</v>
      </c>
      <c r="D30" s="72" t="s">
        <v>180</v>
      </c>
      <c r="E30" s="73" t="s">
        <v>181</v>
      </c>
      <c r="F30" s="73" t="s">
        <v>182</v>
      </c>
      <c r="G30" s="17"/>
      <c r="H30" s="18"/>
    </row>
    <row r="31" spans="1:8" ht="83" customHeight="1" x14ac:dyDescent="0.2">
      <c r="A31" s="74" t="s">
        <v>183</v>
      </c>
      <c r="B31" s="75" t="s">
        <v>32</v>
      </c>
      <c r="C31" s="76" t="s">
        <v>159</v>
      </c>
      <c r="D31" s="77" t="s">
        <v>184</v>
      </c>
      <c r="E31" s="78" t="s">
        <v>185</v>
      </c>
      <c r="F31" s="78" t="s">
        <v>186</v>
      </c>
      <c r="G31" s="17"/>
      <c r="H31" s="18"/>
    </row>
    <row r="32" spans="1:8" ht="24" customHeight="1" x14ac:dyDescent="0.2">
      <c r="A32" s="79" t="s">
        <v>187</v>
      </c>
      <c r="B32" s="79"/>
      <c r="C32" s="79"/>
      <c r="D32" s="79" t="s">
        <v>188</v>
      </c>
      <c r="E32" s="79"/>
      <c r="F32" s="79"/>
      <c r="G32" s="79"/>
      <c r="H32" s="79"/>
    </row>
    <row r="33" spans="1:8" ht="53" customHeight="1" x14ac:dyDescent="0.2">
      <c r="A33" s="24" t="s">
        <v>189</v>
      </c>
      <c r="B33" s="25" t="s">
        <v>23</v>
      </c>
      <c r="C33" s="26" t="s">
        <v>82</v>
      </c>
      <c r="D33" s="27" t="s">
        <v>190</v>
      </c>
      <c r="E33" s="28" t="s">
        <v>191</v>
      </c>
      <c r="F33" s="28" t="s">
        <v>192</v>
      </c>
      <c r="G33" s="17"/>
      <c r="H33" s="18"/>
    </row>
    <row r="34" spans="1:8" ht="38" customHeight="1" x14ac:dyDescent="0.2">
      <c r="A34" s="24" t="s">
        <v>193</v>
      </c>
      <c r="B34" s="25" t="s">
        <v>23</v>
      </c>
      <c r="C34" s="26" t="s">
        <v>82</v>
      </c>
      <c r="D34" s="27" t="s">
        <v>194</v>
      </c>
      <c r="E34" s="28" t="s">
        <v>195</v>
      </c>
      <c r="F34" s="28" t="s">
        <v>196</v>
      </c>
      <c r="G34" s="17"/>
      <c r="H34" s="18"/>
    </row>
    <row r="35" spans="1:8" ht="38" customHeight="1" x14ac:dyDescent="0.2">
      <c r="A35" s="29" t="s">
        <v>197</v>
      </c>
      <c r="B35" s="30" t="s">
        <v>24</v>
      </c>
      <c r="C35" s="31" t="s">
        <v>82</v>
      </c>
      <c r="D35" s="32" t="s">
        <v>198</v>
      </c>
      <c r="E35" s="33" t="s">
        <v>199</v>
      </c>
      <c r="F35" s="33" t="s">
        <v>200</v>
      </c>
      <c r="G35" s="17"/>
      <c r="H35" s="18"/>
    </row>
    <row r="36" spans="1:8" ht="53" customHeight="1" x14ac:dyDescent="0.2">
      <c r="A36" s="34" t="s">
        <v>201</v>
      </c>
      <c r="B36" s="35" t="s">
        <v>25</v>
      </c>
      <c r="C36" s="36" t="s">
        <v>82</v>
      </c>
      <c r="D36" s="37" t="s">
        <v>202</v>
      </c>
      <c r="E36" s="38" t="s">
        <v>203</v>
      </c>
      <c r="F36" s="38" t="s">
        <v>204</v>
      </c>
      <c r="G36" s="17"/>
      <c r="H36" s="18"/>
    </row>
    <row r="37" spans="1:8" ht="38" customHeight="1" x14ac:dyDescent="0.2">
      <c r="A37" s="34" t="s">
        <v>205</v>
      </c>
      <c r="B37" s="35" t="s">
        <v>25</v>
      </c>
      <c r="C37" s="36" t="s">
        <v>82</v>
      </c>
      <c r="D37" s="37" t="s">
        <v>206</v>
      </c>
      <c r="E37" s="38" t="s">
        <v>207</v>
      </c>
      <c r="F37" s="38" t="s">
        <v>208</v>
      </c>
      <c r="G37" s="17"/>
      <c r="H37" s="18"/>
    </row>
    <row r="38" spans="1:8" ht="53" customHeight="1" x14ac:dyDescent="0.2">
      <c r="A38" s="39" t="s">
        <v>209</v>
      </c>
      <c r="B38" s="40" t="s">
        <v>26</v>
      </c>
      <c r="C38" s="41" t="s">
        <v>82</v>
      </c>
      <c r="D38" s="42" t="s">
        <v>210</v>
      </c>
      <c r="E38" s="43" t="s">
        <v>211</v>
      </c>
      <c r="F38" s="43" t="s">
        <v>212</v>
      </c>
      <c r="G38" s="17"/>
      <c r="H38" s="18"/>
    </row>
    <row r="39" spans="1:8" ht="53" customHeight="1" x14ac:dyDescent="0.2">
      <c r="A39" s="49" t="s">
        <v>213</v>
      </c>
      <c r="B39" s="50" t="s">
        <v>28</v>
      </c>
      <c r="C39" s="51" t="s">
        <v>82</v>
      </c>
      <c r="D39" s="52" t="s">
        <v>214</v>
      </c>
      <c r="E39" s="53" t="s">
        <v>215</v>
      </c>
      <c r="F39" s="53" t="s">
        <v>216</v>
      </c>
      <c r="G39" s="17"/>
      <c r="H39" s="18"/>
    </row>
    <row r="40" spans="1:8" ht="53" customHeight="1" x14ac:dyDescent="0.2">
      <c r="A40" s="59" t="s">
        <v>217</v>
      </c>
      <c r="B40" s="60" t="s">
        <v>30</v>
      </c>
      <c r="C40" s="61" t="s">
        <v>82</v>
      </c>
      <c r="D40" s="62" t="s">
        <v>218</v>
      </c>
      <c r="E40" s="63" t="s">
        <v>219</v>
      </c>
      <c r="F40" s="63" t="s">
        <v>220</v>
      </c>
      <c r="G40" s="17"/>
      <c r="H40" s="18"/>
    </row>
    <row r="41" spans="1:8" ht="53" customHeight="1" x14ac:dyDescent="0.2">
      <c r="A41" s="59" t="s">
        <v>221</v>
      </c>
      <c r="B41" s="60" t="s">
        <v>30</v>
      </c>
      <c r="C41" s="61" t="s">
        <v>159</v>
      </c>
      <c r="D41" s="62" t="s">
        <v>222</v>
      </c>
      <c r="E41" s="63" t="s">
        <v>223</v>
      </c>
      <c r="F41" s="63" t="s">
        <v>224</v>
      </c>
      <c r="G41" s="17"/>
      <c r="H41" s="18"/>
    </row>
    <row r="42" spans="1:8" ht="53" customHeight="1" x14ac:dyDescent="0.2">
      <c r="A42" s="69" t="s">
        <v>225</v>
      </c>
      <c r="B42" s="70" t="s">
        <v>31</v>
      </c>
      <c r="C42" s="71" t="s">
        <v>82</v>
      </c>
      <c r="D42" s="72" t="s">
        <v>226</v>
      </c>
      <c r="E42" s="73" t="s">
        <v>227</v>
      </c>
      <c r="F42" s="73" t="s">
        <v>228</v>
      </c>
      <c r="G42" s="17"/>
      <c r="H42" s="18"/>
    </row>
    <row r="43" spans="1:8" ht="53" customHeight="1" x14ac:dyDescent="0.2">
      <c r="A43" s="69" t="s">
        <v>229</v>
      </c>
      <c r="B43" s="70" t="s">
        <v>31</v>
      </c>
      <c r="C43" s="71" t="s">
        <v>82</v>
      </c>
      <c r="D43" s="72" t="s">
        <v>230</v>
      </c>
      <c r="E43" s="73" t="s">
        <v>231</v>
      </c>
      <c r="F43" s="73" t="s">
        <v>232</v>
      </c>
      <c r="G43" s="17"/>
      <c r="H43" s="18"/>
    </row>
    <row r="44" spans="1:8" ht="53" customHeight="1" x14ac:dyDescent="0.2">
      <c r="A44" s="69" t="s">
        <v>233</v>
      </c>
      <c r="B44" s="70" t="s">
        <v>31</v>
      </c>
      <c r="C44" s="71" t="s">
        <v>159</v>
      </c>
      <c r="D44" s="72" t="s">
        <v>234</v>
      </c>
      <c r="E44" s="73" t="s">
        <v>235</v>
      </c>
      <c r="F44" s="73" t="s">
        <v>236</v>
      </c>
      <c r="G44" s="17"/>
      <c r="H44" s="18"/>
    </row>
    <row r="45" spans="1:8" ht="53" customHeight="1" x14ac:dyDescent="0.2">
      <c r="A45" s="74" t="s">
        <v>237</v>
      </c>
      <c r="B45" s="75" t="s">
        <v>32</v>
      </c>
      <c r="C45" s="76" t="s">
        <v>159</v>
      </c>
      <c r="D45" s="77" t="s">
        <v>238</v>
      </c>
      <c r="E45" s="78" t="s">
        <v>239</v>
      </c>
      <c r="F45" s="78" t="s">
        <v>240</v>
      </c>
      <c r="G45" s="17"/>
      <c r="H45" s="18"/>
    </row>
    <row r="46" spans="1:8" ht="53" customHeight="1" x14ac:dyDescent="0.2">
      <c r="A46" s="13" t="s">
        <v>241</v>
      </c>
      <c r="B46" s="3" t="s">
        <v>21</v>
      </c>
      <c r="C46" s="14" t="s">
        <v>82</v>
      </c>
      <c r="D46" s="15" t="s">
        <v>242</v>
      </c>
      <c r="E46" s="16" t="s">
        <v>243</v>
      </c>
      <c r="F46" s="16" t="s">
        <v>244</v>
      </c>
      <c r="G46" s="17"/>
      <c r="H46" s="18"/>
    </row>
    <row r="47" spans="1:8" ht="24" customHeight="1" x14ac:dyDescent="0.2">
      <c r="A47" s="101" t="s">
        <v>245</v>
      </c>
      <c r="B47" s="101"/>
      <c r="C47" s="101"/>
      <c r="D47" s="101" t="s">
        <v>246</v>
      </c>
      <c r="E47" s="101"/>
      <c r="F47" s="101"/>
      <c r="G47" s="101"/>
      <c r="H47" s="101"/>
    </row>
    <row r="48" spans="1:8" ht="53" customHeight="1" x14ac:dyDescent="0.2">
      <c r="A48" s="102" t="s">
        <v>247</v>
      </c>
      <c r="B48" s="103" t="s">
        <v>34</v>
      </c>
      <c r="C48" s="104" t="s">
        <v>82</v>
      </c>
      <c r="D48" s="105" t="s">
        <v>248</v>
      </c>
      <c r="E48" s="106" t="s">
        <v>249</v>
      </c>
      <c r="F48" s="106" t="s">
        <v>250</v>
      </c>
      <c r="G48" s="107"/>
      <c r="H48" s="108"/>
    </row>
    <row r="49" spans="1:8" ht="38" customHeight="1" x14ac:dyDescent="0.2">
      <c r="A49" s="102" t="s">
        <v>251</v>
      </c>
      <c r="B49" s="103" t="s">
        <v>34</v>
      </c>
      <c r="C49" s="104" t="s">
        <v>82</v>
      </c>
      <c r="D49" s="105" t="s">
        <v>252</v>
      </c>
      <c r="E49" s="106" t="s">
        <v>253</v>
      </c>
      <c r="F49" s="106" t="s">
        <v>254</v>
      </c>
      <c r="G49" s="107"/>
      <c r="H49" s="108"/>
    </row>
    <row r="50" spans="1:8" ht="53" customHeight="1" x14ac:dyDescent="0.2">
      <c r="A50" s="102" t="s">
        <v>255</v>
      </c>
      <c r="B50" s="103" t="s">
        <v>34</v>
      </c>
      <c r="C50" s="104" t="s">
        <v>82</v>
      </c>
      <c r="D50" s="105" t="s">
        <v>256</v>
      </c>
      <c r="E50" s="106" t="s">
        <v>257</v>
      </c>
      <c r="F50" s="106" t="s">
        <v>258</v>
      </c>
      <c r="G50" s="107"/>
      <c r="H50" s="108"/>
    </row>
    <row r="51" spans="1:8" ht="53" customHeight="1" x14ac:dyDescent="0.2">
      <c r="A51" s="102" t="s">
        <v>259</v>
      </c>
      <c r="B51" s="103" t="s">
        <v>34</v>
      </c>
      <c r="C51" s="104" t="s">
        <v>82</v>
      </c>
      <c r="D51" s="105" t="s">
        <v>260</v>
      </c>
      <c r="E51" s="106" t="s">
        <v>261</v>
      </c>
      <c r="F51" s="106" t="s">
        <v>262</v>
      </c>
      <c r="G51" s="107"/>
      <c r="H51" s="108"/>
    </row>
    <row r="52" spans="1:8" ht="38" customHeight="1" x14ac:dyDescent="0.2">
      <c r="A52" s="102" t="s">
        <v>263</v>
      </c>
      <c r="B52" s="103" t="s">
        <v>34</v>
      </c>
      <c r="C52" s="104" t="s">
        <v>159</v>
      </c>
      <c r="D52" s="105" t="s">
        <v>264</v>
      </c>
      <c r="E52" s="106" t="s">
        <v>265</v>
      </c>
      <c r="F52" s="106" t="s">
        <v>266</v>
      </c>
      <c r="G52" s="107"/>
      <c r="H52" s="108"/>
    </row>
    <row r="53" spans="1:8" ht="38" customHeight="1" x14ac:dyDescent="0.2">
      <c r="A53" s="102" t="s">
        <v>267</v>
      </c>
      <c r="B53" s="103" t="s">
        <v>34</v>
      </c>
      <c r="C53" s="104" t="s">
        <v>159</v>
      </c>
      <c r="D53" s="105" t="s">
        <v>31</v>
      </c>
      <c r="E53" s="106" t="s">
        <v>268</v>
      </c>
      <c r="F53" s="106" t="s">
        <v>269</v>
      </c>
      <c r="G53" s="107"/>
      <c r="H53" s="108"/>
    </row>
    <row r="54" spans="1:8" ht="38" customHeight="1" x14ac:dyDescent="0.2">
      <c r="A54" s="102" t="s">
        <v>270</v>
      </c>
      <c r="B54" s="103" t="s">
        <v>34</v>
      </c>
      <c r="C54" s="104" t="s">
        <v>159</v>
      </c>
      <c r="D54" s="105" t="s">
        <v>32</v>
      </c>
      <c r="E54" s="106" t="s">
        <v>271</v>
      </c>
      <c r="F54" s="106" t="s">
        <v>272</v>
      </c>
      <c r="G54" s="107"/>
      <c r="H54" s="108"/>
    </row>
    <row r="55" spans="1:8" ht="53" customHeight="1" x14ac:dyDescent="0.2">
      <c r="A55" s="102" t="s">
        <v>273</v>
      </c>
      <c r="B55" s="103" t="s">
        <v>34</v>
      </c>
      <c r="C55" s="104" t="s">
        <v>82</v>
      </c>
      <c r="D55" s="105" t="s">
        <v>274</v>
      </c>
      <c r="E55" s="106" t="s">
        <v>275</v>
      </c>
      <c r="F55" s="106" t="s">
        <v>276</v>
      </c>
      <c r="G55" s="107"/>
      <c r="H55" s="108"/>
    </row>
    <row r="56" spans="1:8" ht="53" customHeight="1" x14ac:dyDescent="0.2">
      <c r="A56" s="102" t="s">
        <v>277</v>
      </c>
      <c r="B56" s="103" t="s">
        <v>34</v>
      </c>
      <c r="C56" s="104" t="s">
        <v>82</v>
      </c>
      <c r="D56" s="105" t="s">
        <v>278</v>
      </c>
      <c r="E56" s="106" t="s">
        <v>279</v>
      </c>
      <c r="F56" s="106" t="s">
        <v>280</v>
      </c>
      <c r="G56" s="107"/>
      <c r="H56" s="108"/>
    </row>
    <row r="57" spans="1:8" ht="38" customHeight="1" x14ac:dyDescent="0.2">
      <c r="A57" s="102" t="s">
        <v>281</v>
      </c>
      <c r="B57" s="103" t="s">
        <v>34</v>
      </c>
      <c r="C57" s="104" t="s">
        <v>82</v>
      </c>
      <c r="D57" s="105" t="s">
        <v>282</v>
      </c>
      <c r="E57" s="106" t="s">
        <v>283</v>
      </c>
      <c r="F57" s="106" t="s">
        <v>284</v>
      </c>
      <c r="G57" s="107"/>
      <c r="H57" s="108"/>
    </row>
    <row r="58" spans="1:8" ht="38" customHeight="1" x14ac:dyDescent="0.2">
      <c r="A58" s="102" t="s">
        <v>285</v>
      </c>
      <c r="B58" s="103" t="s">
        <v>34</v>
      </c>
      <c r="C58" s="104" t="s">
        <v>82</v>
      </c>
      <c r="D58" s="105" t="s">
        <v>286</v>
      </c>
      <c r="E58" s="106" t="s">
        <v>287</v>
      </c>
      <c r="F58" s="106" t="s">
        <v>288</v>
      </c>
      <c r="G58" s="107"/>
      <c r="H58" s="108"/>
    </row>
    <row r="59" spans="1:8" ht="24" customHeight="1" x14ac:dyDescent="0.2">
      <c r="A59" s="109" t="s">
        <v>289</v>
      </c>
      <c r="B59" s="109"/>
      <c r="C59" s="109"/>
      <c r="D59" s="109" t="s">
        <v>290</v>
      </c>
      <c r="E59" s="109"/>
      <c r="F59" s="109"/>
      <c r="G59" s="109"/>
      <c r="H59" s="109"/>
    </row>
    <row r="60" spans="1:8" ht="68" customHeight="1" x14ac:dyDescent="0.2">
      <c r="A60" s="110" t="s">
        <v>291</v>
      </c>
      <c r="B60" s="111" t="s">
        <v>35</v>
      </c>
      <c r="C60" s="112" t="s">
        <v>35</v>
      </c>
      <c r="D60" s="113" t="s">
        <v>292</v>
      </c>
      <c r="E60" s="114" t="s">
        <v>293</v>
      </c>
      <c r="F60" s="114" t="s">
        <v>294</v>
      </c>
      <c r="G60" s="107"/>
      <c r="H60" s="108"/>
    </row>
    <row r="61" spans="1:8" ht="83" customHeight="1" x14ac:dyDescent="0.2">
      <c r="A61" s="110" t="s">
        <v>295</v>
      </c>
      <c r="B61" s="111" t="s">
        <v>35</v>
      </c>
      <c r="C61" s="112" t="s">
        <v>35</v>
      </c>
      <c r="D61" s="113" t="s">
        <v>296</v>
      </c>
      <c r="E61" s="114" t="s">
        <v>297</v>
      </c>
      <c r="F61" s="114" t="s">
        <v>298</v>
      </c>
      <c r="G61" s="107"/>
      <c r="H61" s="108"/>
    </row>
    <row r="62" spans="1:8" ht="83" customHeight="1" x14ac:dyDescent="0.2">
      <c r="A62" s="110" t="s">
        <v>299</v>
      </c>
      <c r="B62" s="111" t="s">
        <v>35</v>
      </c>
      <c r="C62" s="112" t="s">
        <v>35</v>
      </c>
      <c r="D62" s="113" t="s">
        <v>300</v>
      </c>
      <c r="E62" s="114" t="s">
        <v>301</v>
      </c>
      <c r="F62" s="114" t="s">
        <v>302</v>
      </c>
      <c r="G62" s="107"/>
      <c r="H62" s="108"/>
    </row>
    <row r="63" spans="1:8" ht="83" customHeight="1" x14ac:dyDescent="0.2">
      <c r="A63" s="110" t="s">
        <v>303</v>
      </c>
      <c r="B63" s="111" t="s">
        <v>35</v>
      </c>
      <c r="C63" s="112" t="s">
        <v>35</v>
      </c>
      <c r="D63" s="113" t="s">
        <v>304</v>
      </c>
      <c r="E63" s="114" t="s">
        <v>305</v>
      </c>
      <c r="F63" s="114" t="s">
        <v>306</v>
      </c>
      <c r="G63" s="107"/>
      <c r="H63" s="108"/>
    </row>
    <row r="64" spans="1:8" ht="83" customHeight="1" x14ac:dyDescent="0.2">
      <c r="A64" s="110" t="s">
        <v>307</v>
      </c>
      <c r="B64" s="111" t="s">
        <v>35</v>
      </c>
      <c r="C64" s="112" t="s">
        <v>35</v>
      </c>
      <c r="D64" s="113" t="s">
        <v>308</v>
      </c>
      <c r="E64" s="114" t="s">
        <v>309</v>
      </c>
      <c r="F64" s="114" t="s">
        <v>310</v>
      </c>
      <c r="G64" s="107"/>
      <c r="H64" s="108"/>
    </row>
    <row r="65" spans="1:8" ht="68" customHeight="1" x14ac:dyDescent="0.2">
      <c r="A65" s="110" t="s">
        <v>311</v>
      </c>
      <c r="B65" s="111" t="s">
        <v>35</v>
      </c>
      <c r="C65" s="112" t="s">
        <v>35</v>
      </c>
      <c r="D65" s="113" t="s">
        <v>312</v>
      </c>
      <c r="E65" s="114" t="s">
        <v>313</v>
      </c>
      <c r="F65" s="114" t="s">
        <v>314</v>
      </c>
      <c r="G65" s="107"/>
      <c r="H65" s="108"/>
    </row>
    <row r="66" spans="1:8" ht="68" customHeight="1" x14ac:dyDescent="0.2">
      <c r="A66" s="110" t="s">
        <v>315</v>
      </c>
      <c r="B66" s="111" t="s">
        <v>35</v>
      </c>
      <c r="C66" s="112" t="s">
        <v>35</v>
      </c>
      <c r="D66" s="113" t="s">
        <v>316</v>
      </c>
      <c r="E66" s="114" t="s">
        <v>317</v>
      </c>
      <c r="F66" s="114" t="s">
        <v>318</v>
      </c>
      <c r="G66" s="107"/>
      <c r="H66" s="108"/>
    </row>
    <row r="67" spans="1:8" ht="83" customHeight="1" x14ac:dyDescent="0.2">
      <c r="A67" s="110" t="s">
        <v>319</v>
      </c>
      <c r="B67" s="111" t="s">
        <v>35</v>
      </c>
      <c r="C67" s="112" t="s">
        <v>35</v>
      </c>
      <c r="D67" s="113" t="s">
        <v>320</v>
      </c>
      <c r="E67" s="114" t="s">
        <v>321</v>
      </c>
      <c r="F67" s="114" t="s">
        <v>322</v>
      </c>
      <c r="G67" s="107"/>
      <c r="H67" s="108"/>
    </row>
    <row r="68" spans="1:8" ht="68" customHeight="1" x14ac:dyDescent="0.2">
      <c r="A68" s="110" t="s">
        <v>323</v>
      </c>
      <c r="B68" s="111" t="s">
        <v>35</v>
      </c>
      <c r="C68" s="112" t="s">
        <v>35</v>
      </c>
      <c r="D68" s="113" t="s">
        <v>324</v>
      </c>
      <c r="E68" s="114" t="s">
        <v>325</v>
      </c>
      <c r="F68" s="114" t="s">
        <v>326</v>
      </c>
      <c r="G68" s="107"/>
      <c r="H68" s="108"/>
    </row>
    <row r="69" spans="1:8" ht="83" customHeight="1" x14ac:dyDescent="0.2">
      <c r="A69" s="110" t="s">
        <v>327</v>
      </c>
      <c r="B69" s="111" t="s">
        <v>35</v>
      </c>
      <c r="C69" s="112" t="s">
        <v>35</v>
      </c>
      <c r="D69" s="113" t="s">
        <v>328</v>
      </c>
      <c r="E69" s="114" t="s">
        <v>329</v>
      </c>
      <c r="F69" s="114" t="s">
        <v>330</v>
      </c>
      <c r="G69" s="107"/>
      <c r="H69" s="108"/>
    </row>
    <row r="70" spans="1:8" ht="68" customHeight="1" x14ac:dyDescent="0.2">
      <c r="A70" s="110" t="s">
        <v>331</v>
      </c>
      <c r="B70" s="111" t="s">
        <v>35</v>
      </c>
      <c r="C70" s="112" t="s">
        <v>35</v>
      </c>
      <c r="D70" s="113" t="s">
        <v>332</v>
      </c>
      <c r="E70" s="114" t="s">
        <v>333</v>
      </c>
      <c r="F70" s="114" t="s">
        <v>334</v>
      </c>
      <c r="G70" s="107"/>
      <c r="H70" s="108"/>
    </row>
    <row r="71" spans="1:8" ht="68" customHeight="1" x14ac:dyDescent="0.2">
      <c r="A71" s="110" t="s">
        <v>335</v>
      </c>
      <c r="B71" s="111" t="s">
        <v>35</v>
      </c>
      <c r="C71" s="112" t="s">
        <v>35</v>
      </c>
      <c r="D71" s="113" t="s">
        <v>336</v>
      </c>
      <c r="E71" s="114" t="s">
        <v>337</v>
      </c>
      <c r="F71" s="114" t="s">
        <v>338</v>
      </c>
      <c r="G71" s="107"/>
      <c r="H71" s="108"/>
    </row>
    <row r="72" spans="1:8" ht="83" customHeight="1" x14ac:dyDescent="0.2">
      <c r="A72" s="110" t="s">
        <v>339</v>
      </c>
      <c r="B72" s="111" t="s">
        <v>35</v>
      </c>
      <c r="C72" s="112" t="s">
        <v>35</v>
      </c>
      <c r="D72" s="113" t="s">
        <v>340</v>
      </c>
      <c r="E72" s="114" t="s">
        <v>341</v>
      </c>
      <c r="F72" s="114" t="s">
        <v>342</v>
      </c>
      <c r="G72" s="107"/>
      <c r="H72" s="108"/>
    </row>
    <row r="73" spans="1:8" ht="68" customHeight="1" x14ac:dyDescent="0.2">
      <c r="A73" s="110" t="s">
        <v>343</v>
      </c>
      <c r="B73" s="111" t="s">
        <v>35</v>
      </c>
      <c r="C73" s="112" t="s">
        <v>35</v>
      </c>
      <c r="D73" s="113" t="s">
        <v>344</v>
      </c>
      <c r="E73" s="114" t="s">
        <v>345</v>
      </c>
      <c r="F73" s="114" t="s">
        <v>346</v>
      </c>
      <c r="G73" s="107"/>
      <c r="H73" s="108"/>
    </row>
    <row r="74" spans="1:8" ht="68" customHeight="1" x14ac:dyDescent="0.2">
      <c r="A74" s="110" t="s">
        <v>347</v>
      </c>
      <c r="B74" s="111" t="s">
        <v>35</v>
      </c>
      <c r="C74" s="112" t="s">
        <v>35</v>
      </c>
      <c r="D74" s="113" t="s">
        <v>348</v>
      </c>
      <c r="E74" s="114" t="s">
        <v>349</v>
      </c>
      <c r="F74" s="114" t="s">
        <v>350</v>
      </c>
      <c r="G74" s="107"/>
      <c r="H74" s="108"/>
    </row>
    <row r="75" spans="1:8" ht="83" customHeight="1" x14ac:dyDescent="0.2">
      <c r="A75" s="110" t="s">
        <v>351</v>
      </c>
      <c r="B75" s="111" t="s">
        <v>35</v>
      </c>
      <c r="C75" s="112" t="s">
        <v>35</v>
      </c>
      <c r="D75" s="113" t="s">
        <v>352</v>
      </c>
      <c r="E75" s="114" t="s">
        <v>353</v>
      </c>
      <c r="F75" s="114" t="s">
        <v>354</v>
      </c>
      <c r="G75" s="107"/>
      <c r="H75" s="108"/>
    </row>
    <row r="76" spans="1:8" ht="68" customHeight="1" x14ac:dyDescent="0.2">
      <c r="A76" s="110" t="s">
        <v>355</v>
      </c>
      <c r="B76" s="111" t="s">
        <v>35</v>
      </c>
      <c r="C76" s="112" t="s">
        <v>35</v>
      </c>
      <c r="D76" s="113" t="s">
        <v>356</v>
      </c>
      <c r="E76" s="114" t="s">
        <v>357</v>
      </c>
      <c r="F76" s="114" t="s">
        <v>358</v>
      </c>
      <c r="G76" s="107"/>
      <c r="H76" s="108"/>
    </row>
    <row r="77" spans="1:8" ht="68" customHeight="1" x14ac:dyDescent="0.2">
      <c r="A77" s="110" t="s">
        <v>359</v>
      </c>
      <c r="B77" s="111" t="s">
        <v>35</v>
      </c>
      <c r="C77" s="112" t="s">
        <v>35</v>
      </c>
      <c r="D77" s="113" t="s">
        <v>360</v>
      </c>
      <c r="E77" s="114" t="s">
        <v>361</v>
      </c>
      <c r="F77" s="114" t="s">
        <v>362</v>
      </c>
      <c r="G77" s="107"/>
      <c r="H77" s="108"/>
    </row>
    <row r="78" spans="1:8" ht="68" customHeight="1" x14ac:dyDescent="0.2">
      <c r="A78" s="110" t="s">
        <v>363</v>
      </c>
      <c r="B78" s="111" t="s">
        <v>35</v>
      </c>
      <c r="C78" s="112" t="s">
        <v>35</v>
      </c>
      <c r="D78" s="113" t="s">
        <v>364</v>
      </c>
      <c r="E78" s="114" t="s">
        <v>365</v>
      </c>
      <c r="F78" s="114" t="s">
        <v>366</v>
      </c>
      <c r="G78" s="107"/>
      <c r="H78" s="108"/>
    </row>
    <row r="79" spans="1:8" ht="68" customHeight="1" x14ac:dyDescent="0.2">
      <c r="A79" s="110" t="s">
        <v>367</v>
      </c>
      <c r="B79" s="111" t="s">
        <v>35</v>
      </c>
      <c r="C79" s="112" t="s">
        <v>35</v>
      </c>
      <c r="D79" s="113" t="s">
        <v>368</v>
      </c>
      <c r="E79" s="114" t="s">
        <v>369</v>
      </c>
      <c r="F79" s="114" t="s">
        <v>370</v>
      </c>
      <c r="G79" s="107"/>
      <c r="H79" s="108"/>
    </row>
    <row r="80" spans="1:8" ht="68" customHeight="1" x14ac:dyDescent="0.2">
      <c r="A80" s="110" t="s">
        <v>371</v>
      </c>
      <c r="B80" s="111" t="s">
        <v>35</v>
      </c>
      <c r="C80" s="112" t="s">
        <v>35</v>
      </c>
      <c r="D80" s="113" t="s">
        <v>372</v>
      </c>
      <c r="E80" s="114" t="s">
        <v>373</v>
      </c>
      <c r="F80" s="114" t="s">
        <v>374</v>
      </c>
      <c r="G80" s="107"/>
      <c r="H80" s="108"/>
    </row>
    <row r="81" spans="1:8" ht="83" customHeight="1" x14ac:dyDescent="0.2">
      <c r="A81" s="110" t="s">
        <v>375</v>
      </c>
      <c r="B81" s="111" t="s">
        <v>35</v>
      </c>
      <c r="C81" s="112" t="s">
        <v>35</v>
      </c>
      <c r="D81" s="113" t="s">
        <v>376</v>
      </c>
      <c r="E81" s="114" t="s">
        <v>377</v>
      </c>
      <c r="F81" s="114" t="s">
        <v>378</v>
      </c>
      <c r="G81" s="107"/>
      <c r="H81" s="108"/>
    </row>
    <row r="82" spans="1:8" ht="68" customHeight="1" x14ac:dyDescent="0.2">
      <c r="A82" s="110" t="s">
        <v>379</v>
      </c>
      <c r="B82" s="111" t="s">
        <v>35</v>
      </c>
      <c r="C82" s="112" t="s">
        <v>35</v>
      </c>
      <c r="D82" s="113" t="s">
        <v>380</v>
      </c>
      <c r="E82" s="114" t="s">
        <v>381</v>
      </c>
      <c r="F82" s="114" t="s">
        <v>382</v>
      </c>
      <c r="G82" s="107"/>
      <c r="H82" s="108"/>
    </row>
    <row r="83" spans="1:8" ht="68" customHeight="1" x14ac:dyDescent="0.2">
      <c r="A83" s="110" t="s">
        <v>383</v>
      </c>
      <c r="B83" s="111" t="s">
        <v>35</v>
      </c>
      <c r="C83" s="112" t="s">
        <v>35</v>
      </c>
      <c r="D83" s="113" t="s">
        <v>384</v>
      </c>
      <c r="E83" s="114" t="s">
        <v>385</v>
      </c>
      <c r="F83" s="114" t="s">
        <v>386</v>
      </c>
      <c r="G83" s="107"/>
      <c r="H83" s="108"/>
    </row>
    <row r="84" spans="1:8" ht="68" customHeight="1" x14ac:dyDescent="0.2">
      <c r="A84" s="110" t="s">
        <v>387</v>
      </c>
      <c r="B84" s="111" t="s">
        <v>35</v>
      </c>
      <c r="C84" s="112" t="s">
        <v>35</v>
      </c>
      <c r="D84" s="113" t="s">
        <v>388</v>
      </c>
      <c r="E84" s="114" t="s">
        <v>389</v>
      </c>
      <c r="F84" s="114" t="s">
        <v>390</v>
      </c>
      <c r="G84" s="107"/>
      <c r="H84" s="108"/>
    </row>
    <row r="85" spans="1:8" ht="68" customHeight="1" x14ac:dyDescent="0.2">
      <c r="A85" s="110" t="s">
        <v>391</v>
      </c>
      <c r="B85" s="111" t="s">
        <v>35</v>
      </c>
      <c r="C85" s="112" t="s">
        <v>35</v>
      </c>
      <c r="D85" s="113" t="s">
        <v>392</v>
      </c>
      <c r="E85" s="114" t="s">
        <v>393</v>
      </c>
      <c r="F85" s="114" t="s">
        <v>394</v>
      </c>
      <c r="G85" s="107"/>
      <c r="H85" s="108"/>
    </row>
    <row r="86" spans="1:8" ht="68" customHeight="1" x14ac:dyDescent="0.2">
      <c r="A86" s="110" t="s">
        <v>395</v>
      </c>
      <c r="B86" s="111" t="s">
        <v>35</v>
      </c>
      <c r="C86" s="112" t="s">
        <v>35</v>
      </c>
      <c r="D86" s="113" t="s">
        <v>396</v>
      </c>
      <c r="E86" s="114" t="s">
        <v>397</v>
      </c>
      <c r="F86" s="114" t="s">
        <v>398</v>
      </c>
      <c r="G86" s="107"/>
      <c r="H86" s="108"/>
    </row>
    <row r="87" spans="1:8" ht="68" customHeight="1" x14ac:dyDescent="0.2">
      <c r="A87" s="110" t="s">
        <v>399</v>
      </c>
      <c r="B87" s="111" t="s">
        <v>35</v>
      </c>
      <c r="C87" s="112" t="s">
        <v>35</v>
      </c>
      <c r="D87" s="113" t="s">
        <v>400</v>
      </c>
      <c r="E87" s="114" t="s">
        <v>401</v>
      </c>
      <c r="F87" s="114" t="s">
        <v>402</v>
      </c>
      <c r="G87" s="107"/>
      <c r="H87" s="108"/>
    </row>
    <row r="88" spans="1:8" ht="68" customHeight="1" x14ac:dyDescent="0.2">
      <c r="A88" s="110" t="s">
        <v>403</v>
      </c>
      <c r="B88" s="111" t="s">
        <v>35</v>
      </c>
      <c r="C88" s="112" t="s">
        <v>35</v>
      </c>
      <c r="D88" s="113" t="s">
        <v>404</v>
      </c>
      <c r="E88" s="114" t="s">
        <v>405</v>
      </c>
      <c r="F88" s="114" t="s">
        <v>406</v>
      </c>
      <c r="G88" s="107"/>
      <c r="H88" s="108"/>
    </row>
    <row r="89" spans="1:8" ht="83" customHeight="1" x14ac:dyDescent="0.2">
      <c r="A89" s="110" t="s">
        <v>407</v>
      </c>
      <c r="B89" s="111" t="s">
        <v>35</v>
      </c>
      <c r="C89" s="112" t="s">
        <v>35</v>
      </c>
      <c r="D89" s="113" t="s">
        <v>408</v>
      </c>
      <c r="E89" s="114" t="s">
        <v>409</v>
      </c>
      <c r="F89" s="114" t="s">
        <v>410</v>
      </c>
      <c r="G89" s="107"/>
      <c r="H89" s="108"/>
    </row>
    <row r="90" spans="1:8" ht="68" customHeight="1" x14ac:dyDescent="0.2">
      <c r="A90" s="110" t="s">
        <v>411</v>
      </c>
      <c r="B90" s="111" t="s">
        <v>35</v>
      </c>
      <c r="C90" s="112" t="s">
        <v>35</v>
      </c>
      <c r="D90" s="113" t="s">
        <v>412</v>
      </c>
      <c r="E90" s="114" t="s">
        <v>413</v>
      </c>
      <c r="F90" s="114" t="s">
        <v>414</v>
      </c>
      <c r="G90" s="107"/>
      <c r="H90" s="108"/>
    </row>
    <row r="91" spans="1:8" ht="68" customHeight="1" x14ac:dyDescent="0.2">
      <c r="A91" s="110" t="s">
        <v>415</v>
      </c>
      <c r="B91" s="111" t="s">
        <v>35</v>
      </c>
      <c r="C91" s="112" t="s">
        <v>35</v>
      </c>
      <c r="D91" s="113" t="s">
        <v>416</v>
      </c>
      <c r="E91" s="114" t="s">
        <v>417</v>
      </c>
      <c r="F91" s="114" t="s">
        <v>418</v>
      </c>
      <c r="G91" s="107"/>
      <c r="H91" s="108"/>
    </row>
    <row r="92" spans="1:8" ht="83" customHeight="1" x14ac:dyDescent="0.2">
      <c r="A92" s="110" t="s">
        <v>419</v>
      </c>
      <c r="B92" s="111" t="s">
        <v>35</v>
      </c>
      <c r="C92" s="112" t="s">
        <v>35</v>
      </c>
      <c r="D92" s="113" t="s">
        <v>420</v>
      </c>
      <c r="E92" s="114" t="s">
        <v>421</v>
      </c>
      <c r="F92" s="114" t="s">
        <v>422</v>
      </c>
      <c r="G92" s="107"/>
      <c r="H92" s="108"/>
    </row>
    <row r="93" spans="1:8" ht="83" customHeight="1" x14ac:dyDescent="0.2">
      <c r="A93" s="110" t="s">
        <v>423</v>
      </c>
      <c r="B93" s="111" t="s">
        <v>35</v>
      </c>
      <c r="C93" s="112" t="s">
        <v>35</v>
      </c>
      <c r="D93" s="113" t="s">
        <v>424</v>
      </c>
      <c r="E93" s="114" t="s">
        <v>425</v>
      </c>
      <c r="F93" s="114" t="s">
        <v>426</v>
      </c>
      <c r="G93" s="107"/>
      <c r="H93" s="108"/>
    </row>
    <row r="94" spans="1:8" ht="68" customHeight="1" x14ac:dyDescent="0.2">
      <c r="A94" s="110" t="s">
        <v>427</v>
      </c>
      <c r="B94" s="111" t="s">
        <v>35</v>
      </c>
      <c r="C94" s="112" t="s">
        <v>35</v>
      </c>
      <c r="D94" s="113" t="s">
        <v>428</v>
      </c>
      <c r="E94" s="114" t="s">
        <v>429</v>
      </c>
      <c r="F94" s="114" t="s">
        <v>430</v>
      </c>
      <c r="G94" s="107"/>
      <c r="H94" s="108"/>
    </row>
    <row r="95" spans="1:8" ht="68" customHeight="1" x14ac:dyDescent="0.2">
      <c r="A95" s="110" t="s">
        <v>431</v>
      </c>
      <c r="B95" s="111" t="s">
        <v>35</v>
      </c>
      <c r="C95" s="112" t="s">
        <v>35</v>
      </c>
      <c r="D95" s="113" t="s">
        <v>432</v>
      </c>
      <c r="E95" s="114" t="s">
        <v>433</v>
      </c>
      <c r="F95" s="114" t="s">
        <v>434</v>
      </c>
      <c r="G95" s="107"/>
      <c r="H95" s="108"/>
    </row>
    <row r="96" spans="1:8" ht="83" customHeight="1" x14ac:dyDescent="0.2">
      <c r="A96" s="110" t="s">
        <v>435</v>
      </c>
      <c r="B96" s="111" t="s">
        <v>35</v>
      </c>
      <c r="C96" s="112" t="s">
        <v>35</v>
      </c>
      <c r="D96" s="113" t="s">
        <v>436</v>
      </c>
      <c r="E96" s="114" t="s">
        <v>437</v>
      </c>
      <c r="F96" s="114" t="s">
        <v>438</v>
      </c>
      <c r="G96" s="107"/>
      <c r="H96" s="108"/>
    </row>
    <row r="97" spans="1:8" ht="53" customHeight="1" x14ac:dyDescent="0.2">
      <c r="A97" s="110" t="s">
        <v>439</v>
      </c>
      <c r="B97" s="111" t="s">
        <v>35</v>
      </c>
      <c r="C97" s="112" t="s">
        <v>35</v>
      </c>
      <c r="D97" s="113" t="s">
        <v>440</v>
      </c>
      <c r="E97" s="114" t="s">
        <v>441</v>
      </c>
      <c r="F97" s="114" t="s">
        <v>442</v>
      </c>
      <c r="G97" s="107"/>
      <c r="H97" s="108"/>
    </row>
  </sheetData>
  <autoFilter ref="A4:H97" xr:uid="{00000000-0009-0000-0000-000001000000}"/>
  <mergeCells count="2">
    <mergeCell ref="A2:H2"/>
    <mergeCell ref="A1:H1"/>
  </mergeCells>
  <conditionalFormatting sqref="G6:G80">
    <cfRule type="expression" dxfId="11" priority="1">
      <formula>G6="Pass"</formula>
    </cfRule>
    <cfRule type="expression" dxfId="10" priority="2">
      <formula>G6="Fail"</formula>
    </cfRule>
    <cfRule type="expression" dxfId="9" priority="3">
      <formula>G6="Blocked"</formula>
    </cfRule>
    <cfRule type="expression" dxfId="8" priority="4">
      <formula>G6="Not run"</formula>
    </cfRule>
  </conditionalFormatting>
  <conditionalFormatting sqref="G6:G97">
    <cfRule type="expression" dxfId="7" priority="5">
      <formula>G6="Pass"</formula>
    </cfRule>
    <cfRule type="expression" dxfId="6" priority="6">
      <formula>G6="Fail"</formula>
    </cfRule>
    <cfRule type="expression" dxfId="5" priority="7">
      <formula>G6="Blocked"</formula>
    </cfRule>
    <cfRule type="expression" dxfId="4" priority="8">
      <formula>G6="Not run"</formula>
    </cfRule>
  </conditionalFormatting>
  <pageMargins left="0.45" right="0.45" top="0.6" bottom="0.5" header="0.25" footer="0.25"/>
  <pageSetup paperSize="9" fitToHeight="0" orientation="landscape"/>
  <headerFooter>
    <oddHeader>&amp;L&amp;"Arial"&amp;9 Channeling  ·  User acceptance test</oddHeader>
    <oddFooter>&amp;L&amp;"Arial"&amp;8 Yellow cells are for the tester. Do not type over white or shaded cells.&amp;R&amp;"Arial"&amp;8 Page &amp;P of &amp;N</oddFoot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Result" error="Choose Pass, Fail, Blocked, or Not run." promptTitle="Result" prompt="Pass, Fail, Blocked, or Not run" xr:uid="{00000000-0002-0000-0100-000000000000}">
          <x14:formula1>
            <xm:f>Lists!$A$1:$A$4</xm:f>
          </x14:formula1>
          <xm:sqref>G6:G31 G33:G46 G48:G58 G60:G97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7A46"/>
    <pageSetUpPr fitToPage="1"/>
  </sheetPr>
  <dimension ref="A1:G49"/>
  <sheetViews>
    <sheetView showGridLines="0" tabSelected="1" zoomScale="120" workbookViewId="0">
      <pane ySplit="11" topLeftCell="A12" activePane="bottomLeft" state="frozen"/>
      <selection pane="bottomLeft" sqref="A1:G1"/>
    </sheetView>
  </sheetViews>
  <sheetFormatPr baseColWidth="10" defaultColWidth="8.83203125" defaultRowHeight="15" x14ac:dyDescent="0.2"/>
  <cols>
    <col min="1" max="1" width="28" customWidth="1"/>
    <col min="2" max="3" width="16" customWidth="1"/>
    <col min="4" max="4" width="18" customWidth="1"/>
    <col min="5" max="5" width="16" customWidth="1"/>
    <col min="6" max="6" width="18" customWidth="1"/>
    <col min="7" max="7" width="28" customWidth="1"/>
  </cols>
  <sheetData>
    <row r="1" spans="1:7" ht="28" customHeight="1" x14ac:dyDescent="0.2">
      <c r="A1" s="138" t="s">
        <v>0</v>
      </c>
      <c r="B1" s="135"/>
      <c r="C1" s="135"/>
      <c r="D1" s="135"/>
      <c r="E1" s="135"/>
      <c r="F1" s="135"/>
      <c r="G1" s="135"/>
    </row>
    <row r="2" spans="1:7" ht="20" customHeight="1" x14ac:dyDescent="0.2">
      <c r="A2" s="144" t="s">
        <v>1</v>
      </c>
      <c r="B2" s="135"/>
      <c r="C2" s="135"/>
      <c r="D2" s="135"/>
      <c r="E2" s="135"/>
      <c r="F2" s="135"/>
      <c r="G2" s="135"/>
    </row>
    <row r="3" spans="1:7" ht="8" customHeight="1" x14ac:dyDescent="0.2"/>
    <row r="4" spans="1:7" x14ac:dyDescent="0.2">
      <c r="A4" s="134" t="s">
        <v>2</v>
      </c>
      <c r="B4" s="135"/>
      <c r="C4" s="135"/>
      <c r="D4" s="146" t="s">
        <v>3</v>
      </c>
      <c r="E4" s="135"/>
      <c r="F4" s="135"/>
      <c r="G4" s="135"/>
    </row>
    <row r="5" spans="1:7" ht="28" customHeight="1" x14ac:dyDescent="0.2">
      <c r="A5" s="80" t="s">
        <v>4</v>
      </c>
      <c r="B5" s="137"/>
      <c r="C5" s="127"/>
      <c r="D5" s="80" t="s">
        <v>5</v>
      </c>
      <c r="E5" s="143" t="str">
        <f>IF(D12&gt;0,"Not accepted",IF(F12&gt;0,"Incomplete",IF(E12&gt;0,"Accepted with blockers","Accepted")))</f>
        <v>Incomplete</v>
      </c>
      <c r="F5" s="132"/>
      <c r="G5" s="127"/>
    </row>
    <row r="6" spans="1:7" ht="22" customHeight="1" x14ac:dyDescent="0.2">
      <c r="A6" s="80" t="s">
        <v>6</v>
      </c>
      <c r="B6" s="137"/>
      <c r="C6" s="127"/>
      <c r="D6" s="80" t="s">
        <v>7</v>
      </c>
      <c r="E6" s="131">
        <f>IF(B12=0,"—",C12/B12)</f>
        <v>0</v>
      </c>
      <c r="F6" s="132"/>
      <c r="G6" s="127"/>
    </row>
    <row r="7" spans="1:7" ht="22" customHeight="1" x14ac:dyDescent="0.2">
      <c r="A7" s="80" t="s">
        <v>8</v>
      </c>
      <c r="B7" s="126"/>
      <c r="C7" s="127"/>
      <c r="D7" s="145" t="s">
        <v>9</v>
      </c>
      <c r="E7" s="135"/>
      <c r="F7" s="135"/>
      <c r="G7" s="135"/>
    </row>
    <row r="8" spans="1:7" ht="22" customHeight="1" x14ac:dyDescent="0.2">
      <c r="A8" s="80" t="s">
        <v>10</v>
      </c>
      <c r="B8" s="137"/>
      <c r="C8" s="127"/>
      <c r="D8" s="135"/>
      <c r="E8" s="135"/>
      <c r="F8" s="135"/>
      <c r="G8" s="135"/>
    </row>
    <row r="9" spans="1:7" ht="22" customHeight="1" x14ac:dyDescent="0.2">
      <c r="A9" s="80" t="s">
        <v>11</v>
      </c>
      <c r="B9" s="137"/>
      <c r="C9" s="127"/>
      <c r="D9" s="135"/>
      <c r="E9" s="135"/>
      <c r="F9" s="135"/>
      <c r="G9" s="135"/>
    </row>
    <row r="11" spans="1:7" ht="20" customHeight="1" x14ac:dyDescent="0.2">
      <c r="A11" s="11" t="s">
        <v>12</v>
      </c>
      <c r="B11" s="11" t="s">
        <v>13</v>
      </c>
      <c r="C11" s="11" t="s">
        <v>14</v>
      </c>
      <c r="D11" s="11" t="s">
        <v>15</v>
      </c>
      <c r="E11" s="11" t="s">
        <v>16</v>
      </c>
      <c r="F11" s="11" t="s">
        <v>17</v>
      </c>
    </row>
    <row r="12" spans="1:7" ht="26" customHeight="1" x14ac:dyDescent="0.2">
      <c r="A12" s="80" t="s">
        <v>18</v>
      </c>
      <c r="B12" s="81">
        <f>COUNTIF('Test Cases'!$A$5:$A$97,"*-*")</f>
        <v>89</v>
      </c>
      <c r="C12" s="82">
        <f>COUNTIFS('Test Cases'!$A$5:$A$97,"*-*",'Test Cases'!$G$5:$G$97,"Pass")</f>
        <v>0</v>
      </c>
      <c r="D12" s="83">
        <f>COUNTIFS('Test Cases'!$A$5:$A$97,"*-*",'Test Cases'!$G$5:$G$97,"Fail")</f>
        <v>0</v>
      </c>
      <c r="E12" s="84">
        <f>COUNTIFS('Test Cases'!$A$5:$A$97,"*-*",'Test Cases'!$G$5:$G$97,"Blocked")</f>
        <v>0</v>
      </c>
      <c r="F12" s="85">
        <f>B12-C12-D12-E12</f>
        <v>89</v>
      </c>
    </row>
    <row r="13" spans="1:7" ht="8" customHeight="1" x14ac:dyDescent="0.2"/>
    <row r="14" spans="1:7" ht="22" customHeight="1" x14ac:dyDescent="0.2">
      <c r="A14" s="134" t="s">
        <v>19</v>
      </c>
      <c r="B14" s="135"/>
      <c r="C14" s="135"/>
      <c r="D14" s="135"/>
      <c r="E14" s="135"/>
      <c r="F14" s="135"/>
    </row>
    <row r="15" spans="1:7" ht="20" customHeight="1" x14ac:dyDescent="0.2">
      <c r="A15" s="1" t="s">
        <v>20</v>
      </c>
      <c r="B15" s="8" t="s">
        <v>12</v>
      </c>
      <c r="C15" s="8" t="s">
        <v>14</v>
      </c>
      <c r="D15" s="8" t="s">
        <v>15</v>
      </c>
      <c r="E15" s="8" t="s">
        <v>16</v>
      </c>
      <c r="F15" s="8" t="s">
        <v>17</v>
      </c>
    </row>
    <row r="16" spans="1:7" ht="20" customHeight="1" x14ac:dyDescent="0.2">
      <c r="A16" s="3" t="s">
        <v>21</v>
      </c>
      <c r="B16" s="86">
        <f>COUNTIFS('Test Cases'!$A$5:$A$97,"*-*",'Test Cases'!$B$5:$B$97,A16)</f>
        <v>2</v>
      </c>
      <c r="C16" s="86">
        <f>COUNTIFS('Test Cases'!$A$5:$A$97,"*-*",'Test Cases'!$B$5:$B$97,A16,'Test Cases'!$G$5:$G$97,"Pass")</f>
        <v>0</v>
      </c>
      <c r="D16" s="86">
        <f>COUNTIFS('Test Cases'!$A$5:$A$97,"*-*",'Test Cases'!$B$5:$B$97,A16,'Test Cases'!$G$5:$G$97,"Fail")</f>
        <v>0</v>
      </c>
      <c r="E16" s="86">
        <f>COUNTIFS('Test Cases'!$A$5:$A$97,"*-*",'Test Cases'!$B$5:$B$97,A16,'Test Cases'!$G$5:$G$97,"Blocked")</f>
        <v>0</v>
      </c>
      <c r="F16" s="86">
        <f t="shared" ref="F16:F30" si="0">B16-C16-D16-E16</f>
        <v>2</v>
      </c>
    </row>
    <row r="17" spans="1:7" ht="20" customHeight="1" x14ac:dyDescent="0.2">
      <c r="A17" s="20" t="s">
        <v>22</v>
      </c>
      <c r="B17" s="87">
        <f>COUNTIFS('Test Cases'!$A$5:$A$97,"*-*",'Test Cases'!$B$5:$B$97,A17)</f>
        <v>1</v>
      </c>
      <c r="C17" s="87">
        <f>COUNTIFS('Test Cases'!$A$5:$A$97,"*-*",'Test Cases'!$B$5:$B$97,A17,'Test Cases'!$G$5:$G$97,"Pass")</f>
        <v>0</v>
      </c>
      <c r="D17" s="87">
        <f>COUNTIFS('Test Cases'!$A$5:$A$97,"*-*",'Test Cases'!$B$5:$B$97,A17,'Test Cases'!$G$5:$G$97,"Fail")</f>
        <v>0</v>
      </c>
      <c r="E17" s="87">
        <f>COUNTIFS('Test Cases'!$A$5:$A$97,"*-*",'Test Cases'!$B$5:$B$97,A17,'Test Cases'!$G$5:$G$97,"Blocked")</f>
        <v>0</v>
      </c>
      <c r="F17" s="87">
        <f t="shared" si="0"/>
        <v>1</v>
      </c>
    </row>
    <row r="18" spans="1:7" ht="20" customHeight="1" x14ac:dyDescent="0.2">
      <c r="A18" s="25" t="s">
        <v>23</v>
      </c>
      <c r="B18" s="88">
        <f>COUNTIFS('Test Cases'!$A$5:$A$97,"*-*",'Test Cases'!$B$5:$B$97,A18)</f>
        <v>6</v>
      </c>
      <c r="C18" s="88">
        <f>COUNTIFS('Test Cases'!$A$5:$A$97,"*-*",'Test Cases'!$B$5:$B$97,A18,'Test Cases'!$G$5:$G$97,"Pass")</f>
        <v>0</v>
      </c>
      <c r="D18" s="88">
        <f>COUNTIFS('Test Cases'!$A$5:$A$97,"*-*",'Test Cases'!$B$5:$B$97,A18,'Test Cases'!$G$5:$G$97,"Fail")</f>
        <v>0</v>
      </c>
      <c r="E18" s="88">
        <f>COUNTIFS('Test Cases'!$A$5:$A$97,"*-*",'Test Cases'!$B$5:$B$97,A18,'Test Cases'!$G$5:$G$97,"Blocked")</f>
        <v>0</v>
      </c>
      <c r="F18" s="88">
        <f t="shared" si="0"/>
        <v>6</v>
      </c>
    </row>
    <row r="19" spans="1:7" ht="20" customHeight="1" x14ac:dyDescent="0.2">
      <c r="A19" s="30" t="s">
        <v>24</v>
      </c>
      <c r="B19" s="89">
        <f>COUNTIFS('Test Cases'!$A$5:$A$97,"*-*",'Test Cases'!$B$5:$B$97,A19)</f>
        <v>5</v>
      </c>
      <c r="C19" s="89">
        <f>COUNTIFS('Test Cases'!$A$5:$A$97,"*-*",'Test Cases'!$B$5:$B$97,A19,'Test Cases'!$G$5:$G$97,"Pass")</f>
        <v>0</v>
      </c>
      <c r="D19" s="89">
        <f>COUNTIFS('Test Cases'!$A$5:$A$97,"*-*",'Test Cases'!$B$5:$B$97,A19,'Test Cases'!$G$5:$G$97,"Fail")</f>
        <v>0</v>
      </c>
      <c r="E19" s="89">
        <f>COUNTIFS('Test Cases'!$A$5:$A$97,"*-*",'Test Cases'!$B$5:$B$97,A19,'Test Cases'!$G$5:$G$97,"Blocked")</f>
        <v>0</v>
      </c>
      <c r="F19" s="89">
        <f t="shared" si="0"/>
        <v>5</v>
      </c>
    </row>
    <row r="20" spans="1:7" ht="20" customHeight="1" x14ac:dyDescent="0.2">
      <c r="A20" s="35" t="s">
        <v>25</v>
      </c>
      <c r="B20" s="90">
        <f>COUNTIFS('Test Cases'!$A$5:$A$97,"*-*",'Test Cases'!$B$5:$B$97,A20)</f>
        <v>4</v>
      </c>
      <c r="C20" s="90">
        <f>COUNTIFS('Test Cases'!$A$5:$A$97,"*-*",'Test Cases'!$B$5:$B$97,A20,'Test Cases'!$G$5:$G$97,"Pass")</f>
        <v>0</v>
      </c>
      <c r="D20" s="90">
        <f>COUNTIFS('Test Cases'!$A$5:$A$97,"*-*",'Test Cases'!$B$5:$B$97,A20,'Test Cases'!$G$5:$G$97,"Fail")</f>
        <v>0</v>
      </c>
      <c r="E20" s="90">
        <f>COUNTIFS('Test Cases'!$A$5:$A$97,"*-*",'Test Cases'!$B$5:$B$97,A20,'Test Cases'!$G$5:$G$97,"Blocked")</f>
        <v>0</v>
      </c>
      <c r="F20" s="90">
        <f t="shared" si="0"/>
        <v>4</v>
      </c>
    </row>
    <row r="21" spans="1:7" ht="20" customHeight="1" x14ac:dyDescent="0.2">
      <c r="A21" s="40" t="s">
        <v>26</v>
      </c>
      <c r="B21" s="91">
        <f>COUNTIFS('Test Cases'!$A$5:$A$97,"*-*",'Test Cases'!$B$5:$B$97,A21)</f>
        <v>3</v>
      </c>
      <c r="C21" s="91">
        <f>COUNTIFS('Test Cases'!$A$5:$A$97,"*-*",'Test Cases'!$B$5:$B$97,A21,'Test Cases'!$G$5:$G$97,"Pass")</f>
        <v>0</v>
      </c>
      <c r="D21" s="91">
        <f>COUNTIFS('Test Cases'!$A$5:$A$97,"*-*",'Test Cases'!$B$5:$B$97,A21,'Test Cases'!$G$5:$G$97,"Fail")</f>
        <v>0</v>
      </c>
      <c r="E21" s="91">
        <f>COUNTIFS('Test Cases'!$A$5:$A$97,"*-*",'Test Cases'!$B$5:$B$97,A21,'Test Cases'!$G$5:$G$97,"Blocked")</f>
        <v>0</v>
      </c>
      <c r="F21" s="91">
        <f t="shared" si="0"/>
        <v>3</v>
      </c>
    </row>
    <row r="22" spans="1:7" ht="20" customHeight="1" x14ac:dyDescent="0.2">
      <c r="A22" s="45" t="s">
        <v>27</v>
      </c>
      <c r="B22" s="92">
        <f>COUNTIFS('Test Cases'!$A$5:$A$97,"*-*",'Test Cases'!$B$5:$B$97,A22)</f>
        <v>2</v>
      </c>
      <c r="C22" s="92">
        <f>COUNTIFS('Test Cases'!$A$5:$A$97,"*-*",'Test Cases'!$B$5:$B$97,A22,'Test Cases'!$G$5:$G$97,"Pass")</f>
        <v>0</v>
      </c>
      <c r="D22" s="92">
        <f>COUNTIFS('Test Cases'!$A$5:$A$97,"*-*",'Test Cases'!$B$5:$B$97,A22,'Test Cases'!$G$5:$G$97,"Fail")</f>
        <v>0</v>
      </c>
      <c r="E22" s="92">
        <f>COUNTIFS('Test Cases'!$A$5:$A$97,"*-*",'Test Cases'!$B$5:$B$97,A22,'Test Cases'!$G$5:$G$97,"Blocked")</f>
        <v>0</v>
      </c>
      <c r="F22" s="92">
        <f t="shared" si="0"/>
        <v>2</v>
      </c>
    </row>
    <row r="23" spans="1:7" ht="20" customHeight="1" x14ac:dyDescent="0.2">
      <c r="A23" s="50" t="s">
        <v>28</v>
      </c>
      <c r="B23" s="93">
        <f>COUNTIFS('Test Cases'!$A$5:$A$97,"*-*",'Test Cases'!$B$5:$B$97,A23)</f>
        <v>2</v>
      </c>
      <c r="C23" s="93">
        <f>COUNTIFS('Test Cases'!$A$5:$A$97,"*-*",'Test Cases'!$B$5:$B$97,A23,'Test Cases'!$G$5:$G$97,"Pass")</f>
        <v>0</v>
      </c>
      <c r="D23" s="93">
        <f>COUNTIFS('Test Cases'!$A$5:$A$97,"*-*",'Test Cases'!$B$5:$B$97,A23,'Test Cases'!$G$5:$G$97,"Fail")</f>
        <v>0</v>
      </c>
      <c r="E23" s="93">
        <f>COUNTIFS('Test Cases'!$A$5:$A$97,"*-*",'Test Cases'!$B$5:$B$97,A23,'Test Cases'!$G$5:$G$97,"Blocked")</f>
        <v>0</v>
      </c>
      <c r="F23" s="93">
        <f t="shared" si="0"/>
        <v>2</v>
      </c>
    </row>
    <row r="24" spans="1:7" ht="20" customHeight="1" x14ac:dyDescent="0.2">
      <c r="A24" s="55" t="s">
        <v>29</v>
      </c>
      <c r="B24" s="94">
        <f>COUNTIFS('Test Cases'!$A$5:$A$97,"*-*",'Test Cases'!$B$5:$B$97,A24)</f>
        <v>1</v>
      </c>
      <c r="C24" s="94">
        <f>COUNTIFS('Test Cases'!$A$5:$A$97,"*-*",'Test Cases'!$B$5:$B$97,A24,'Test Cases'!$G$5:$G$97,"Pass")</f>
        <v>0</v>
      </c>
      <c r="D24" s="94">
        <f>COUNTIFS('Test Cases'!$A$5:$A$97,"*-*",'Test Cases'!$B$5:$B$97,A24,'Test Cases'!$G$5:$G$97,"Fail")</f>
        <v>0</v>
      </c>
      <c r="E24" s="94">
        <f>COUNTIFS('Test Cases'!$A$5:$A$97,"*-*",'Test Cases'!$B$5:$B$97,A24,'Test Cases'!$G$5:$G$97,"Blocked")</f>
        <v>0</v>
      </c>
      <c r="F24" s="94">
        <f t="shared" si="0"/>
        <v>1</v>
      </c>
    </row>
    <row r="25" spans="1:7" ht="20" customHeight="1" x14ac:dyDescent="0.2">
      <c r="A25" s="60" t="s">
        <v>30</v>
      </c>
      <c r="B25" s="95">
        <f>COUNTIFS('Test Cases'!$A$5:$A$97,"*-*",'Test Cases'!$B$5:$B$97,A25)</f>
        <v>5</v>
      </c>
      <c r="C25" s="95">
        <f>COUNTIFS('Test Cases'!$A$5:$A$97,"*-*",'Test Cases'!$B$5:$B$97,A25,'Test Cases'!$G$5:$G$97,"Pass")</f>
        <v>0</v>
      </c>
      <c r="D25" s="95">
        <f>COUNTIFS('Test Cases'!$A$5:$A$97,"*-*",'Test Cases'!$B$5:$B$97,A25,'Test Cases'!$G$5:$G$97,"Fail")</f>
        <v>0</v>
      </c>
      <c r="E25" s="95">
        <f>COUNTIFS('Test Cases'!$A$5:$A$97,"*-*",'Test Cases'!$B$5:$B$97,A25,'Test Cases'!$G$5:$G$97,"Blocked")</f>
        <v>0</v>
      </c>
      <c r="F25" s="95">
        <f t="shared" si="0"/>
        <v>5</v>
      </c>
    </row>
    <row r="26" spans="1:7" ht="20" customHeight="1" x14ac:dyDescent="0.2">
      <c r="A26" s="70" t="s">
        <v>31</v>
      </c>
      <c r="B26" s="96">
        <f>COUNTIFS('Test Cases'!$A$5:$A$97,"*-*",'Test Cases'!$B$5:$B$97,A26)</f>
        <v>5</v>
      </c>
      <c r="C26" s="96">
        <f>COUNTIFS('Test Cases'!$A$5:$A$97,"*-*",'Test Cases'!$B$5:$B$97,A26,'Test Cases'!$G$5:$G$97,"Pass")</f>
        <v>0</v>
      </c>
      <c r="D26" s="96">
        <f>COUNTIFS('Test Cases'!$A$5:$A$97,"*-*",'Test Cases'!$B$5:$B$97,A26,'Test Cases'!$G$5:$G$97,"Fail")</f>
        <v>0</v>
      </c>
      <c r="E26" s="96">
        <f>COUNTIFS('Test Cases'!$A$5:$A$97,"*-*",'Test Cases'!$B$5:$B$97,A26,'Test Cases'!$G$5:$G$97,"Blocked")</f>
        <v>0</v>
      </c>
      <c r="F26" s="96">
        <f t="shared" si="0"/>
        <v>5</v>
      </c>
    </row>
    <row r="27" spans="1:7" ht="20" customHeight="1" x14ac:dyDescent="0.2">
      <c r="A27" s="75" t="s">
        <v>32</v>
      </c>
      <c r="B27" s="97">
        <f>COUNTIFS('Test Cases'!$A$5:$A$97,"*-*",'Test Cases'!$B$5:$B$97,A27)</f>
        <v>2</v>
      </c>
      <c r="C27" s="97">
        <f>COUNTIFS('Test Cases'!$A$5:$A$97,"*-*",'Test Cases'!$B$5:$B$97,A27,'Test Cases'!$G$5:$G$97,"Pass")</f>
        <v>0</v>
      </c>
      <c r="D27" s="97">
        <f>COUNTIFS('Test Cases'!$A$5:$A$97,"*-*",'Test Cases'!$B$5:$B$97,A27,'Test Cases'!$G$5:$G$97,"Fail")</f>
        <v>0</v>
      </c>
      <c r="E27" s="97">
        <f>COUNTIFS('Test Cases'!$A$5:$A$97,"*-*",'Test Cases'!$B$5:$B$97,A27,'Test Cases'!$G$5:$G$97,"Blocked")</f>
        <v>0</v>
      </c>
      <c r="F27" s="97">
        <f t="shared" si="0"/>
        <v>2</v>
      </c>
    </row>
    <row r="28" spans="1:7" ht="20" customHeight="1" x14ac:dyDescent="0.2">
      <c r="A28" s="65" t="s">
        <v>33</v>
      </c>
      <c r="B28" s="98">
        <f>COUNTIFS('Test Cases'!$A$5:$A$97,"*-*",'Test Cases'!$B$5:$B$97,A28)</f>
        <v>2</v>
      </c>
      <c r="C28" s="98">
        <f>COUNTIFS('Test Cases'!$A$5:$A$97,"*-*",'Test Cases'!$B$5:$B$97,A28,'Test Cases'!$G$5:$G$97,"Pass")</f>
        <v>0</v>
      </c>
      <c r="D28" s="98">
        <f>COUNTIFS('Test Cases'!$A$5:$A$97,"*-*",'Test Cases'!$B$5:$B$97,A28,'Test Cases'!$G$5:$G$97,"Fail")</f>
        <v>0</v>
      </c>
      <c r="E28" s="98">
        <f>COUNTIFS('Test Cases'!$A$5:$A$97,"*-*",'Test Cases'!$B$5:$B$97,A28,'Test Cases'!$G$5:$G$97,"Blocked")</f>
        <v>0</v>
      </c>
      <c r="F28" s="98">
        <f t="shared" si="0"/>
        <v>2</v>
      </c>
    </row>
    <row r="29" spans="1:7" ht="20" customHeight="1" x14ac:dyDescent="0.2">
      <c r="A29" s="103" t="s">
        <v>34</v>
      </c>
      <c r="B29" s="115">
        <f>COUNTIFS('Test Cases'!$A$5:$A$97,"*-*",'Test Cases'!$B$5:$B$97,A29)</f>
        <v>11</v>
      </c>
      <c r="C29" s="115">
        <f>COUNTIFS('Test Cases'!$A$5:$A$97,"*-*",'Test Cases'!$B$5:$B$97,A29,'Test Cases'!$G$5:$G$97,"Pass")</f>
        <v>0</v>
      </c>
      <c r="D29" s="115">
        <f>COUNTIFS('Test Cases'!$A$5:$A$97,"*-*",'Test Cases'!$B$5:$B$97,A29,'Test Cases'!$G$5:$G$97,"Fail")</f>
        <v>0</v>
      </c>
      <c r="E29" s="115">
        <f>COUNTIFS('Test Cases'!$A$5:$A$97,"*-*",'Test Cases'!$B$5:$B$97,A29,'Test Cases'!$G$5:$G$97,"Blocked")</f>
        <v>0</v>
      </c>
      <c r="F29" s="115">
        <f t="shared" si="0"/>
        <v>11</v>
      </c>
      <c r="G29" s="99"/>
    </row>
    <row r="30" spans="1:7" ht="20" customHeight="1" x14ac:dyDescent="0.2">
      <c r="A30" s="111" t="s">
        <v>35</v>
      </c>
      <c r="B30" s="116">
        <f>COUNTIFS('Test Cases'!$A$5:$A$97,"*-*",'Test Cases'!$B$5:$B$97,A30)</f>
        <v>38</v>
      </c>
      <c r="C30" s="116">
        <f>COUNTIFS('Test Cases'!$A$5:$A$97,"*-*",'Test Cases'!$B$5:$B$97,A30,'Test Cases'!$G$5:$G$97,"Pass")</f>
        <v>0</v>
      </c>
      <c r="D30" s="116">
        <f>COUNTIFS('Test Cases'!$A$5:$A$97,"*-*",'Test Cases'!$B$5:$B$97,A30,'Test Cases'!$G$5:$G$97,"Fail")</f>
        <v>0</v>
      </c>
      <c r="E30" s="116">
        <f>COUNTIFS('Test Cases'!$A$5:$A$97,"*-*",'Test Cases'!$B$5:$B$97,A30,'Test Cases'!$G$5:$G$97,"Blocked")</f>
        <v>0</v>
      </c>
      <c r="F30" s="116">
        <f t="shared" si="0"/>
        <v>38</v>
      </c>
    </row>
    <row r="31" spans="1:7" ht="22" customHeight="1" x14ac:dyDescent="0.2">
      <c r="A31" s="117" t="s">
        <v>13</v>
      </c>
      <c r="B31" s="118">
        <f>SUM(B16:B30)</f>
        <v>89</v>
      </c>
      <c r="C31" s="118">
        <f>SUM(C16:C30)</f>
        <v>0</v>
      </c>
      <c r="D31" s="118">
        <f>SUM(D16:D30)</f>
        <v>0</v>
      </c>
      <c r="E31" s="118">
        <f>SUM(E16:E30)</f>
        <v>0</v>
      </c>
      <c r="F31" s="118">
        <f>SUM(F16:F30)</f>
        <v>89</v>
      </c>
      <c r="G31" s="119" t="str">
        <f>IF(B31=B12,"Totals match","Check the area totals")</f>
        <v>Totals match</v>
      </c>
    </row>
    <row r="32" spans="1:7" ht="18" customHeight="1" x14ac:dyDescent="0.2">
      <c r="A32" s="120"/>
    </row>
    <row r="33" spans="1:6" ht="22" customHeight="1" x14ac:dyDescent="0.2">
      <c r="A33" s="133" t="s">
        <v>36</v>
      </c>
      <c r="B33" s="133"/>
      <c r="C33" s="133"/>
      <c r="D33" s="133"/>
      <c r="E33" s="133"/>
      <c r="F33" s="133"/>
    </row>
    <row r="34" spans="1:6" ht="20" customHeight="1" x14ac:dyDescent="0.2">
      <c r="A34" s="129"/>
      <c r="B34" s="130"/>
      <c r="C34" s="130"/>
      <c r="D34" s="130"/>
      <c r="E34" s="130"/>
      <c r="F34" s="130"/>
    </row>
    <row r="35" spans="1:6" ht="20" customHeight="1" x14ac:dyDescent="0.2">
      <c r="A35" s="130"/>
      <c r="B35" s="130"/>
      <c r="C35" s="130"/>
      <c r="D35" s="130"/>
      <c r="E35" s="130"/>
      <c r="F35" s="130"/>
    </row>
    <row r="36" spans="1:6" ht="20" customHeight="1" x14ac:dyDescent="0.2">
      <c r="A36" s="130"/>
      <c r="B36" s="130"/>
      <c r="C36" s="130"/>
      <c r="D36" s="130"/>
      <c r="E36" s="130"/>
      <c r="F36" s="130"/>
    </row>
    <row r="37" spans="1:6" ht="20" customHeight="1" x14ac:dyDescent="0.2">
      <c r="A37" s="130"/>
      <c r="B37" s="130"/>
      <c r="C37" s="130"/>
      <c r="D37" s="130"/>
      <c r="E37" s="130"/>
      <c r="F37" s="130"/>
    </row>
    <row r="38" spans="1:6" ht="18" customHeight="1" x14ac:dyDescent="0.2">
      <c r="A38" s="121"/>
      <c r="B38" s="121"/>
      <c r="D38" s="121"/>
      <c r="F38" s="121"/>
    </row>
    <row r="39" spans="1:6" ht="22" customHeight="1" x14ac:dyDescent="0.2">
      <c r="A39" s="140" t="s">
        <v>37</v>
      </c>
      <c r="B39" s="141"/>
      <c r="C39" s="141"/>
      <c r="D39" s="141"/>
      <c r="E39" s="141"/>
      <c r="F39" s="142"/>
    </row>
    <row r="40" spans="1:6" ht="20" customHeight="1" x14ac:dyDescent="0.2">
      <c r="A40" s="122"/>
      <c r="B40" s="128" t="s">
        <v>4</v>
      </c>
      <c r="C40" s="128"/>
      <c r="D40" s="128" t="s">
        <v>38</v>
      </c>
      <c r="E40" s="128"/>
      <c r="F40" s="123" t="s">
        <v>39</v>
      </c>
    </row>
    <row r="41" spans="1:6" ht="28" customHeight="1" x14ac:dyDescent="0.2">
      <c r="A41" s="124" t="s">
        <v>2</v>
      </c>
      <c r="B41" s="136"/>
      <c r="C41" s="136"/>
      <c r="D41" s="136"/>
      <c r="E41" s="136"/>
      <c r="F41" s="125"/>
    </row>
    <row r="42" spans="1:6" ht="28" customHeight="1" x14ac:dyDescent="0.2">
      <c r="A42" s="124" t="s">
        <v>40</v>
      </c>
      <c r="B42" s="136"/>
      <c r="C42" s="136"/>
      <c r="D42" s="136"/>
      <c r="E42" s="136"/>
      <c r="F42" s="125"/>
    </row>
    <row r="43" spans="1:6" ht="18" customHeight="1" x14ac:dyDescent="0.2"/>
    <row r="44" spans="1:6" ht="36" customHeight="1" x14ac:dyDescent="0.2">
      <c r="A44" s="139" t="s">
        <v>41</v>
      </c>
      <c r="B44" s="135"/>
      <c r="C44" s="135"/>
      <c r="D44" s="135"/>
      <c r="E44" s="135"/>
      <c r="F44" s="135"/>
    </row>
    <row r="45" spans="1:6" ht="18" customHeight="1" x14ac:dyDescent="0.2"/>
    <row r="46" spans="1:6" ht="18" customHeight="1" x14ac:dyDescent="0.2"/>
    <row r="47" spans="1:6" ht="18" customHeight="1" x14ac:dyDescent="0.2"/>
    <row r="48" spans="1:6" ht="18" customHeight="1" x14ac:dyDescent="0.2"/>
    <row r="49" ht="18" customHeight="1" x14ac:dyDescent="0.2"/>
  </sheetData>
  <mergeCells count="23">
    <mergeCell ref="A44:F44"/>
    <mergeCell ref="B40:C40"/>
    <mergeCell ref="B9:C9"/>
    <mergeCell ref="A39:F39"/>
    <mergeCell ref="B6:C6"/>
    <mergeCell ref="D42:E42"/>
    <mergeCell ref="D7:G9"/>
    <mergeCell ref="B41:C41"/>
    <mergeCell ref="B42:C42"/>
    <mergeCell ref="D41:E41"/>
    <mergeCell ref="A4:C4"/>
    <mergeCell ref="B8:C8"/>
    <mergeCell ref="A1:G1"/>
    <mergeCell ref="E5:G5"/>
    <mergeCell ref="B5:C5"/>
    <mergeCell ref="A2:G2"/>
    <mergeCell ref="D4:G4"/>
    <mergeCell ref="B7:C7"/>
    <mergeCell ref="D40:E40"/>
    <mergeCell ref="A34:F37"/>
    <mergeCell ref="E6:G6"/>
    <mergeCell ref="A33:F33"/>
    <mergeCell ref="A14:F14"/>
  </mergeCells>
  <conditionalFormatting sqref="E5:G5">
    <cfRule type="expression" dxfId="3" priority="1">
      <formula>$E$5="Accepted"</formula>
    </cfRule>
    <cfRule type="expression" dxfId="2" priority="2">
      <formula>$E$5="Not accepted"</formula>
    </cfRule>
    <cfRule type="expression" dxfId="1" priority="3">
      <formula>$E$5="Incomplete"</formula>
    </cfRule>
    <cfRule type="expression" dxfId="0" priority="4">
      <formula>$E$5="Accepted with blockers"</formula>
    </cfRule>
  </conditionalFormatting>
  <pageMargins left="0.45" right="0.45" top="0.6" bottom="0.5" header="0.25" footer="0.25"/>
  <pageSetup paperSize="9" orientation="landscape"/>
  <headerFooter>
    <oddHeader>&amp;L&amp;"Arial"&amp;9 Channeling  ·  User acceptance test</oddHeader>
    <oddFooter>&amp;L&amp;"Arial"&amp;8 Overall result is calculated from Test Cases. Yellow cells are yours to fill.&amp;R&amp;"Arial"&amp;8 Page &amp;P of &amp;N</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heetViews>
  <sheetFormatPr baseColWidth="10" defaultColWidth="8.83203125" defaultRowHeight="15" x14ac:dyDescent="0.2"/>
  <sheetData>
    <row r="1" spans="1:1" x14ac:dyDescent="0.2">
      <c r="A1" s="100" t="s">
        <v>61</v>
      </c>
    </row>
    <row r="2" spans="1:1" x14ac:dyDescent="0.2">
      <c r="A2" s="100" t="s">
        <v>63</v>
      </c>
    </row>
    <row r="3" spans="1:1" x14ac:dyDescent="0.2">
      <c r="A3" s="100" t="s">
        <v>16</v>
      </c>
    </row>
    <row r="4" spans="1:1" x14ac:dyDescent="0.2">
      <c r="A4" s="100"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How to use</vt:lpstr>
      <vt:lpstr>Test Cases</vt:lpstr>
      <vt:lpstr>Sign-off</vt:lpstr>
      <vt:lpstr>Lists</vt:lpstr>
      <vt:lpstr>'How to use'!Print_Area</vt:lpstr>
      <vt:lpstr>'Sign-off'!Print_Area</vt:lpstr>
      <vt:lpstr>'Test Cases'!Print_Area</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Channeling UAT</dc:title>
  <dc:subject>Simple user acceptance test for Channeling</dc:subject>
  <dc:creator>Channeling</dc:creator>
  <dc:description>Short UAT sign-off for the Channeling desk: bookings, settlement, refund, cancel, transfer, float, handover, reconciliation, and doctor payment. Detailed edge cases remain in the markdown guides and uat-test-cases.csv in this folder.</dc:description>
  <cp:lastModifiedBy>Niro</cp:lastModifiedBy>
  <dcterms:created xsi:type="dcterms:W3CDTF">2026-10-05T07:37:42Z</dcterms:created>
  <dcterms:modified xsi:type="dcterms:W3CDTF">2026-10-05T07:47:34Z</dcterms:modified>
</cp:coreProperties>
</file>