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Test Cases" sheetId="2" state="visible" r:id="rId2"/>
    <sheet xmlns:r="http://schemas.openxmlformats.org/officeDocument/2006/relationships" name="Sign-off" sheetId="3" state="visible" r:id="rId3"/>
    <sheet xmlns:r="http://schemas.openxmlformats.org/officeDocument/2006/relationships" name="Lists" sheetId="4" state="hidden" r:id="rId4"/>
  </sheets>
  <definedNames>
    <definedName name="_xlnm.Print_Titles" localSheetId="0">'How to use'!$1:$4</definedName>
    <definedName name="_xlnm._FilterDatabase" localSheetId="1" hidden="1">'Test Cases'!$A$4:$H$34</definedName>
    <definedName name="_xlnm.Print_Titles" localSheetId="1">'Test Cases'!$1:$4</definedName>
  </definedNames>
  <calcPr calcId="124519" calcMode="auto"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Arial"/>
      <b val="1"/>
      <color rgb="000F6E6E"/>
      <sz val="14"/>
    </font>
    <font>
      <name val="Arial"/>
      <b val="1"/>
      <color rgb="001F4E79"/>
      <sz val="22"/>
    </font>
    <font>
      <name val="Arial"/>
      <color rgb="001F2933"/>
      <sz val="12"/>
    </font>
    <font>
      <name val="Arial"/>
      <b val="1"/>
      <color rgb="00FFFFFF"/>
      <sz val="11"/>
    </font>
    <font>
      <name val="Arial"/>
      <color rgb="001F2933"/>
      <sz val="11"/>
    </font>
    <font>
      <name val="Arial"/>
      <b val="1"/>
      <color rgb="001F4E79"/>
      <sz val="10"/>
    </font>
    <font>
      <name val="Arial"/>
      <color rgb="001F2933"/>
      <sz val="10"/>
    </font>
    <font>
      <name val="Arial"/>
      <color rgb="000000FF"/>
      <sz val="11"/>
    </font>
    <font>
      <name val="Arial"/>
      <b val="1"/>
      <color rgb="001F2933"/>
      <sz val="10"/>
    </font>
    <font>
      <name val="Arial"/>
      <b val="1"/>
      <color rgb="005C6B7A"/>
      <sz val="11"/>
    </font>
    <font>
      <name val="Arial"/>
      <color rgb="0052606D"/>
      <sz val="10"/>
    </font>
    <font>
      <name val="Arial"/>
      <b val="1"/>
      <color rgb="001F4E79"/>
      <sz val="16"/>
    </font>
    <font>
      <name val="Arial"/>
      <b val="1"/>
      <color rgb="00FFFFFF"/>
      <sz val="10"/>
    </font>
    <font>
      <name val="Arial"/>
      <b val="1"/>
      <color rgb="001F4E79"/>
      <sz val="18"/>
    </font>
    <font>
      <name val="Arial"/>
      <b val="1"/>
      <color rgb="001F4E79"/>
      <sz val="14"/>
    </font>
    <font>
      <name val="Arial"/>
      <color rgb="001F2933"/>
      <sz val="9"/>
    </font>
    <font>
      <name val="Arial"/>
      <b val="1"/>
      <color rgb="001F4E79"/>
      <sz val="11"/>
    </font>
    <font>
      <name val="Arial"/>
      <b val="1"/>
      <color rgb="001E7A46"/>
      <sz val="10"/>
    </font>
    <font>
      <name val="Arial"/>
      <color rgb="0052606D"/>
      <sz val="8"/>
    </font>
    <font>
      <name val="Arial"/>
      <sz val="10"/>
    </font>
  </fonts>
  <fills count="14">
    <fill>
      <patternFill/>
    </fill>
    <fill>
      <patternFill patternType="gray125"/>
    </fill>
    <fill>
      <patternFill patternType="solid">
        <fgColor rgb="001F4E79"/>
      </patternFill>
    </fill>
    <fill>
      <patternFill patternType="solid">
        <fgColor rgb="00F4F6F8"/>
      </patternFill>
    </fill>
    <fill>
      <patternFill patternType="solid">
        <fgColor rgb="000F6E6E"/>
      </patternFill>
    </fill>
    <fill>
      <patternFill patternType="solid">
        <fgColor rgb="00FFFFFF"/>
      </patternFill>
    </fill>
    <fill>
      <patternFill patternType="solid">
        <fgColor rgb="00F3F7F7"/>
      </patternFill>
    </fill>
    <fill>
      <patternFill patternType="solid">
        <fgColor rgb="00E8EEF5"/>
      </patternFill>
    </fill>
    <fill>
      <patternFill patternType="solid">
        <fgColor rgb="00FFF4CC"/>
      </patternFill>
    </fill>
    <fill>
      <patternFill patternType="solid">
        <fgColor rgb="00D6E6F5"/>
      </patternFill>
    </fill>
    <fill>
      <patternFill patternType="solid">
        <fgColor rgb="00E5F6E8"/>
      </patternFill>
    </fill>
    <fill>
      <patternFill patternType="solid">
        <fgColor rgb="00FDECEC"/>
      </patternFill>
    </fill>
    <fill>
      <patternFill patternType="solid">
        <fgColor rgb="00FEF4E0"/>
      </patternFill>
    </fill>
    <fill>
      <patternFill patternType="solid">
        <fgColor rgb="00E8EEF2"/>
      </patternFill>
    </fill>
  </fills>
  <borders count="10">
    <border>
      <left/>
      <right/>
      <top/>
      <bottom/>
      <diagonal/>
    </border>
    <border>
      <left style="thin">
        <color rgb="00D5DDE5"/>
      </left>
      <right style="thin">
        <color rgb="00D5DDE5"/>
      </right>
      <top style="thin">
        <color rgb="00D5DDE5"/>
      </top>
      <bottom style="thin">
        <color rgb="00D5DDE5"/>
      </bottom>
    </border>
    <border>
      <left/>
      <right/>
      <top style="thin">
        <color rgb="00D5DDE5"/>
      </top>
      <bottom/>
      <diagonal/>
    </border>
    <border>
      <left/>
      <right style="thin">
        <color rgb="00D5DDE5"/>
      </right>
      <top style="thin">
        <color rgb="00D5DDE5"/>
      </top>
      <bottom/>
      <diagonal/>
    </border>
    <border>
      <left/>
      <right style="thin">
        <color rgb="00D5DDE5"/>
      </right>
      <top style="thin">
        <color rgb="00D5DDE5"/>
      </top>
      <bottom style="thin">
        <color rgb="00D5DDE5"/>
      </bottom>
      <diagonal/>
    </border>
    <border>
      <left style="thin">
        <color rgb="00D5DDE5"/>
      </left>
      <right/>
      <top/>
      <bottom/>
      <diagonal/>
    </border>
    <border>
      <left/>
      <right style="thin">
        <color rgb="00D5DDE5"/>
      </right>
      <top/>
      <bottom/>
      <diagonal/>
    </border>
    <border>
      <left style="thin">
        <color rgb="00D5DDE5"/>
      </left>
      <right/>
      <top/>
      <bottom style="thin">
        <color rgb="00D5DDE5"/>
      </bottom>
      <diagonal/>
    </border>
    <border>
      <left/>
      <right/>
      <top/>
      <bottom style="thin">
        <color rgb="00D5DDE5"/>
      </bottom>
      <diagonal/>
    </border>
    <border>
      <left/>
      <right style="thin">
        <color rgb="00D5DDE5"/>
      </right>
      <top/>
      <bottom style="thin">
        <color rgb="00D5DDE5"/>
      </bottom>
      <diagonal/>
    </border>
  </borders>
  <cellStyleXfs count="1">
    <xf numFmtId="0" fontId="0" fillId="0" borderId="0"/>
  </cellStyleXfs>
  <cellXfs count="8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center" wrapText="1"/>
    </xf>
    <xf numFmtId="0" fontId="4" fillId="2" borderId="0" applyAlignment="1" pivotButton="0" quotePrefix="0" xfId="0">
      <alignment horizontal="left" vertical="center" wrapText="1"/>
    </xf>
    <xf numFmtId="0" fontId="5" fillId="3" borderId="0" applyAlignment="1" pivotButton="0" quotePrefix="0" xfId="0">
      <alignment vertical="top" wrapText="1"/>
    </xf>
    <xf numFmtId="0" fontId="0" fillId="3" borderId="0" applyAlignment="1" pivotButton="0" quotePrefix="0" xfId="0">
      <alignment vertical="top" wrapText="1"/>
    </xf>
    <xf numFmtId="0" fontId="4" fillId="4" borderId="0" applyAlignment="1" pivotButton="0" quotePrefix="0" xfId="0">
      <alignment horizontal="left" vertical="center" wrapText="1"/>
    </xf>
    <xf numFmtId="0" fontId="5" fillId="5" borderId="0" applyAlignment="1" pivotButton="0" quotePrefix="0" xfId="0">
      <alignment horizontal="left" vertical="center" wrapText="1"/>
    </xf>
    <xf numFmtId="0" fontId="0" fillId="5" borderId="0" applyAlignment="1" pivotButton="0" quotePrefix="0" xfId="0">
      <alignment horizontal="left" vertical="center" wrapText="1"/>
    </xf>
    <xf numFmtId="0" fontId="5" fillId="6" borderId="0" applyAlignment="1" pivotButton="0" quotePrefix="0" xfId="0">
      <alignment horizontal="left" vertical="center" wrapText="1"/>
    </xf>
    <xf numFmtId="0" fontId="0" fillId="6" borderId="0" applyAlignment="1" pivotButton="0" quotePrefix="0" xfId="0">
      <alignment horizontal="left" vertical="center" wrapText="1"/>
    </xf>
    <xf numFmtId="0" fontId="6" fillId="7" borderId="0" applyAlignment="1" pivotButton="0" quotePrefix="0" xfId="0">
      <alignment horizontal="left" vertical="center" wrapText="1"/>
    </xf>
    <xf numFmtId="0" fontId="7" fillId="7" borderId="0" applyAlignment="1" pivotButton="0" quotePrefix="0" xfId="0">
      <alignment horizontal="left" vertical="center" wrapText="1"/>
    </xf>
    <xf numFmtId="0" fontId="0" fillId="7" borderId="0" pivotButton="0" quotePrefix="0" xfId="0"/>
    <xf numFmtId="0" fontId="8" fillId="8" borderId="0" applyAlignment="1" pivotButton="0" quotePrefix="0" xfId="0">
      <alignment horizontal="left" vertical="center" wrapText="1"/>
    </xf>
    <xf numFmtId="0" fontId="7" fillId="8" borderId="0" applyAlignment="1" pivotButton="0" quotePrefix="0" xfId="0">
      <alignment horizontal="left" vertical="center" wrapText="1"/>
    </xf>
    <xf numFmtId="0" fontId="0" fillId="8" borderId="0" pivotButton="0" quotePrefix="0" xfId="0"/>
    <xf numFmtId="0" fontId="9" fillId="9" borderId="0" applyAlignment="1" pivotButton="0" quotePrefix="0" xfId="0">
      <alignment horizontal="left" vertical="center" wrapText="1"/>
    </xf>
    <xf numFmtId="0" fontId="7" fillId="9" borderId="0" applyAlignment="1" pivotButton="0" quotePrefix="0" xfId="0">
      <alignment horizontal="left" vertical="center" wrapText="1"/>
    </xf>
    <xf numFmtId="0" fontId="0" fillId="9" borderId="0" pivotButton="0" quotePrefix="0" xfId="0"/>
    <xf numFmtId="0" fontId="9" fillId="10" borderId="0" applyAlignment="1" pivotButton="0" quotePrefix="0" xfId="0">
      <alignment horizontal="left" vertical="center" wrapText="1"/>
    </xf>
    <xf numFmtId="0" fontId="7" fillId="10" borderId="0" applyAlignment="1" pivotButton="0" quotePrefix="0" xfId="0">
      <alignment horizontal="left" vertical="center" wrapText="1"/>
    </xf>
    <xf numFmtId="0" fontId="0" fillId="10" borderId="0" pivotButton="0" quotePrefix="0" xfId="0"/>
    <xf numFmtId="0" fontId="9" fillId="11" borderId="0" applyAlignment="1" pivotButton="0" quotePrefix="0" xfId="0">
      <alignment horizontal="left" vertical="center" wrapText="1"/>
    </xf>
    <xf numFmtId="0" fontId="7" fillId="11" borderId="0" applyAlignment="1" pivotButton="0" quotePrefix="0" xfId="0">
      <alignment horizontal="left" vertical="center" wrapText="1"/>
    </xf>
    <xf numFmtId="0" fontId="0" fillId="11" borderId="0" pivotButton="0" quotePrefix="0" xfId="0"/>
    <xf numFmtId="0" fontId="9" fillId="12" borderId="0" applyAlignment="1" pivotButton="0" quotePrefix="0" xfId="0">
      <alignment horizontal="left" vertical="center" wrapText="1"/>
    </xf>
    <xf numFmtId="0" fontId="7" fillId="12" borderId="0" applyAlignment="1" pivotButton="0" quotePrefix="0" xfId="0">
      <alignment horizontal="left" vertical="center" wrapText="1"/>
    </xf>
    <xf numFmtId="0" fontId="0" fillId="12" borderId="0" pivotButton="0" quotePrefix="0" xfId="0"/>
    <xf numFmtId="0" fontId="9" fillId="3" borderId="0" applyAlignment="1" pivotButton="0" quotePrefix="0" xfId="0">
      <alignment horizontal="left" vertical="center" wrapText="1"/>
    </xf>
    <xf numFmtId="0" fontId="7" fillId="3" borderId="0" applyAlignment="1" pivotButton="0" quotePrefix="0" xfId="0">
      <alignment horizontal="left" vertical="center" wrapText="1"/>
    </xf>
    <xf numFmtId="0" fontId="0" fillId="3" borderId="0" pivotButton="0" quotePrefix="0" xfId="0"/>
    <xf numFmtId="0" fontId="10" fillId="0" borderId="0" pivotButton="0" quotePrefix="0" xfId="0"/>
    <xf numFmtId="0" fontId="6" fillId="7" borderId="1" applyAlignment="1" pivotButton="0" quotePrefix="0" xfId="0">
      <alignment horizontal="center" vertical="center" wrapText="1"/>
    </xf>
    <xf numFmtId="0" fontId="9" fillId="3" borderId="1" applyAlignment="1" pivotButton="0" quotePrefix="0" xfId="0">
      <alignment horizontal="left" vertical="center" wrapText="1"/>
    </xf>
    <xf numFmtId="0" fontId="8"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11" fillId="0" borderId="0" applyAlignment="1" pivotButton="0" quotePrefix="0" xfId="0">
      <alignment vertical="top" wrapText="1"/>
    </xf>
    <xf numFmtId="0" fontId="12"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6"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7" fillId="9" borderId="1" applyAlignment="1" pivotButton="0" quotePrefix="0" xfId="0">
      <alignment horizontal="center" vertical="center" wrapText="1"/>
    </xf>
    <xf numFmtId="0" fontId="9" fillId="9" borderId="1" applyAlignment="1" pivotButton="0" quotePrefix="0" xfId="0">
      <alignment horizontal="left" vertical="top" wrapText="1"/>
    </xf>
    <xf numFmtId="0" fontId="7" fillId="9" borderId="1" applyAlignment="1" pivotButton="0" quotePrefix="0" xfId="0">
      <alignment horizontal="left" vertical="top" wrapText="1"/>
    </xf>
    <xf numFmtId="0" fontId="8" fillId="8" borderId="1" applyAlignment="1" pivotButton="0" quotePrefix="0" xfId="0">
      <alignment horizontal="left" vertical="top" wrapText="1"/>
    </xf>
    <xf numFmtId="0" fontId="6"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7" fillId="13" borderId="1" applyAlignment="1" pivotButton="0" quotePrefix="0" xfId="0">
      <alignment horizontal="center" vertical="center" wrapText="1"/>
    </xf>
    <xf numFmtId="0" fontId="9" fillId="13" borderId="1" applyAlignment="1" pivotButton="0" quotePrefix="0" xfId="0">
      <alignment horizontal="left" vertical="top" wrapText="1"/>
    </xf>
    <xf numFmtId="0" fontId="7" fillId="13" borderId="1" applyAlignment="1" pivotButton="0" quotePrefix="0" xfId="0">
      <alignment horizontal="left" vertical="top" wrapText="1"/>
    </xf>
    <xf numFmtId="0" fontId="14" fillId="0" borderId="0" pivotButton="0" quotePrefix="0" xfId="0"/>
    <xf numFmtId="0" fontId="11" fillId="0" borderId="0" pivotButton="0" quotePrefix="0" xfId="0"/>
    <xf numFmtId="0" fontId="9" fillId="7" borderId="0" applyAlignment="1" pivotButton="0" quotePrefix="0" xfId="0">
      <alignment horizontal="left" vertical="center" wrapText="1"/>
    </xf>
    <xf numFmtId="0" fontId="8" fillId="8" borderId="1" pivotButton="0" quotePrefix="0" xfId="0"/>
    <xf numFmtId="0" fontId="0" fillId="8" borderId="1" pivotButton="0" quotePrefix="0" xfId="0"/>
    <xf numFmtId="164" fontId="15" fillId="0" borderId="0" applyAlignment="1" pivotButton="0" quotePrefix="0" xfId="0">
      <alignment horizontal="left" vertical="center" wrapText="1"/>
    </xf>
    <xf numFmtId="0" fontId="16" fillId="0" borderId="0" applyAlignment="1" pivotButton="0" quotePrefix="0" xfId="0">
      <alignment vertical="top" wrapText="1"/>
    </xf>
    <xf numFmtId="0" fontId="17" fillId="5" borderId="1" applyAlignment="1" pivotButton="0" quotePrefix="0" xfId="0">
      <alignment horizontal="left" vertical="center" wrapText="1"/>
    </xf>
    <xf numFmtId="1" fontId="15" fillId="5" borderId="1" applyAlignment="1" pivotButton="0" quotePrefix="0" xfId="0">
      <alignment horizontal="center" vertical="center" wrapText="1"/>
    </xf>
    <xf numFmtId="0" fontId="4" fillId="2" borderId="0" pivotButton="0" quotePrefix="0" xfId="0"/>
    <xf numFmtId="1" fontId="7" fillId="9" borderId="1" applyAlignment="1" pivotButton="0" quotePrefix="0" xfId="0">
      <alignment horizontal="center" vertical="center" wrapText="1"/>
    </xf>
    <xf numFmtId="1" fontId="7" fillId="13" borderId="1" applyAlignment="1" pivotButton="0" quotePrefix="0" xfId="0">
      <alignment horizontal="center" vertical="center" wrapText="1"/>
    </xf>
    <xf numFmtId="0" fontId="13" fillId="2" borderId="1" applyAlignment="1" pivotButton="0" quotePrefix="0" xfId="0">
      <alignment horizontal="left" vertical="center" wrapText="1"/>
    </xf>
    <xf numFmtId="1" fontId="13" fillId="2" borderId="1" applyAlignment="1" pivotButton="0" quotePrefix="0" xfId="0">
      <alignment horizontal="center" vertical="center" wrapText="1"/>
    </xf>
    <xf numFmtId="0" fontId="18" fillId="0" borderId="0" applyAlignment="1" pivotButton="0" quotePrefix="0" xfId="0">
      <alignment horizontal="left" vertical="center" wrapText="1"/>
    </xf>
    <xf numFmtId="0" fontId="8" fillId="8" borderId="1" applyAlignment="1" pivotButton="0" quotePrefix="0" xfId="0">
      <alignment vertical="top" wrapText="1"/>
    </xf>
    <xf numFmtId="0" fontId="4" fillId="4" borderId="0" pivotButton="0" quotePrefix="0" xfId="0"/>
    <xf numFmtId="0" fontId="6" fillId="7" borderId="0" pivotButton="0" quotePrefix="0" xfId="0"/>
    <xf numFmtId="0" fontId="9"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20" fillId="0" borderId="0" pivotButton="0" quotePrefix="0" xfId="0"/>
    <xf numFmtId="0" fontId="5" fillId="3" borderId="0" applyAlignment="1" pivotButton="0" quotePrefix="0" xfId="0">
      <alignment horizontal="left" vertical="top" wrapText="1"/>
    </xf>
    <xf numFmtId="0" fontId="11" fillId="0" borderId="0" applyAlignment="1" pivotButton="0" quotePrefix="0" xfId="0">
      <alignment horizontal="left" vertical="top" wrapText="1"/>
    </xf>
    <xf numFmtId="0" fontId="0" fillId="0" borderId="4" pivotButton="0" quotePrefix="0" xfId="0"/>
    <xf numFmtId="0" fontId="0" fillId="0" borderId="2"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Normal" xfId="0" builtinId="0" hidden="0"/>
  </cellStyles>
  <dxfs count="4">
    <dxf>
      <font>
        <name val="Arial"/>
        <b val="1"/>
        <color rgb="001E7A46"/>
        <sz val="11"/>
      </font>
      <fill>
        <patternFill patternType="solid">
          <fgColor rgb="00E5F6E8"/>
        </patternFill>
      </fill>
    </dxf>
    <dxf>
      <font>
        <name val="Arial"/>
        <b val="1"/>
        <color rgb="009B1C1C"/>
        <sz val="11"/>
      </font>
      <fill>
        <patternFill patternType="solid">
          <fgColor rgb="00FDECEC"/>
        </patternFill>
      </fill>
    </dxf>
    <dxf>
      <font>
        <name val="Arial"/>
        <b val="1"/>
        <color rgb="0092400E"/>
        <sz val="11"/>
      </font>
      <fill>
        <patternFill patternType="solid">
          <fgColor rgb="00FEF4E0"/>
        </patternFill>
      </fill>
    </dxf>
    <dxf>
      <font>
        <name val="Arial"/>
        <color rgb="0052606D"/>
        <sz val="11"/>
      </font>
      <fill>
        <patternFill patternType="solid">
          <fgColor rgb="00F4F6F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6E6E"/>
    <outlinePr summaryBelow="1" summaryRight="1"/>
    <pageSetUpPr fitToPage="1"/>
  </sheetPr>
  <dimension ref="A2:F35"/>
  <sheetViews>
    <sheetView showGridLines="0" view="normal" zoomScale="11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8"/>
  <cols>
    <col width="3" customWidth="1" min="1" max="1"/>
    <col width="38" customWidth="1" min="2" max="2"/>
    <col width="28" customWidth="1" min="3" max="3"/>
    <col width="22" customWidth="1" min="4" max="4"/>
    <col width="18" customWidth="1" min="5" max="5"/>
    <col width="36" customWidth="1" min="6" max="6"/>
    <col width="3" customWidth="1" min="7" max="7"/>
  </cols>
  <sheetData>
    <row r="2" ht="18" customHeight="1">
      <c r="B2" s="1" t="inlineStr">
        <is>
          <t>DPAY</t>
        </is>
      </c>
    </row>
    <row r="3" ht="28" customHeight="1">
      <c r="B3" s="2" t="inlineStr">
        <is>
          <t>User acceptance test</t>
        </is>
      </c>
    </row>
    <row r="4" ht="32" customHeight="1">
      <c r="B4" s="3" t="inlineStr">
        <is>
          <t>A sign-off for DPAY bills, receipts, doctor payments, doctor balance, and the doctor payment reports.</t>
        </is>
      </c>
    </row>
    <row r="6">
      <c r="B6" s="4" t="inlineStr">
        <is>
          <t>What you are checking</t>
        </is>
      </c>
    </row>
    <row r="7" ht="32" customHeight="1">
      <c r="B7" s="75" t="inlineStr">
        <is>
          <t>This pack checks DPAY: patient bills, receipts, doctor payments, and the balances and reports around them.
A DPAY doctor payment is one receipt. It does not split and it does not withhold tax. Patient receipts and doctor payments share one number series, {branch}DPAY/. Cancels use DPAY-REF/. An excess refund uses DPAY-OVR/.
The shift is started in Channeling. Also check a paused or ended shift, two doctors on one bill, paying the doctor before the patient pays, adding or removing a charge after money has been taken, and which refund method is allowed.
DPAY Doctor Balance is separate from the channeling doctor balance. A DPAY payment moves only the DPAY balance, by the full amount paid. The Channeling till shows the money in from the patient and the money out to the doctor. A channeling split payment does not appear here.</t>
        </is>
      </c>
    </row>
    <row r="8" ht="32" customHeight="1"/>
    <row r="9" ht="32" customHeight="1"/>
    <row r="10" ht="32" customHeight="1"/>
    <row r="11" ht="32" customHeight="1"/>
    <row r="12" ht="32" customHeight="1"/>
    <row r="14">
      <c r="B14" s="7" t="inlineStr">
        <is>
          <t>How to fill this in</t>
        </is>
      </c>
    </row>
    <row r="15" ht="28" customHeight="1">
      <c r="B15" s="8" t="inlineStr">
        <is>
          <t>1    Use the DPAY UAT address and the login you were given. Start a shift before you take money. You also need Reports in Channeling for the two doctor-balance reports.</t>
        </is>
      </c>
    </row>
    <row r="16" ht="28" customHeight="1">
      <c r="B16" s="10" t="inlineStr">
        <is>
          <t>2    On Test Cases, do the sections in order. Bills first, then patient payments, then doctor payments, then the balances and reports.</t>
        </is>
      </c>
    </row>
    <row r="17" ht="28" customHeight="1">
      <c r="B17" s="8" t="inlineStr">
        <is>
          <t>3    Type only in the yellow cells. On Test Cases that is Result and Notes. On Sign-off that is your name, date, environment, and comments.</t>
        </is>
      </c>
    </row>
    <row r="18" ht="28" customHeight="1">
      <c r="B18" s="10" t="inlineStr">
        <is>
          <t>4    Result must be Pass, Fail, Blocked, or Not run. Use the dropdown. If you choose Fail or Blocked, write what you saw in Notes.</t>
        </is>
      </c>
    </row>
    <row r="19" ht="28" customHeight="1">
      <c r="B19" s="8" t="inlineStr">
        <is>
          <t>5    Open Sign-off when you finish. The counts and the overall result calculate themselves. Do not type over them.</t>
        </is>
      </c>
    </row>
    <row r="21">
      <c r="B21" s="4" t="inlineStr">
        <is>
          <t>What the colours mean</t>
        </is>
      </c>
    </row>
    <row r="22" ht="20" customHeight="1">
      <c r="B22" s="12" t="inlineStr">
        <is>
          <t>Look</t>
        </is>
      </c>
      <c r="C22" s="13" t="inlineStr">
        <is>
          <t>Meaning</t>
        </is>
      </c>
    </row>
    <row r="23" ht="20" customHeight="1">
      <c r="B23" s="15" t="inlineStr">
        <is>
          <t>Yellow cell, blue text</t>
        </is>
      </c>
      <c r="C23" s="16" t="inlineStr">
        <is>
          <t>Type here. Result, Notes, and the Sign-off details.</t>
        </is>
      </c>
    </row>
    <row r="24" ht="20" customHeight="1">
      <c r="B24" s="18" t="inlineStr">
        <is>
          <t>Shaded row</t>
        </is>
      </c>
      <c r="C24" s="19" t="inlineStr">
        <is>
          <t>A test case. Do not type in the white or blue text.</t>
        </is>
      </c>
    </row>
    <row r="25" ht="20" customHeight="1">
      <c r="B25" s="21" t="inlineStr">
        <is>
          <t>Pass</t>
        </is>
      </c>
      <c r="C25" s="22" t="inlineStr">
        <is>
          <t>It matched the expected result.</t>
        </is>
      </c>
    </row>
    <row r="26" ht="20" customHeight="1">
      <c r="B26" s="24" t="inlineStr">
        <is>
          <t>Fail</t>
        </is>
      </c>
      <c r="C26" s="25" t="inlineStr">
        <is>
          <t>It did not. Write what you saw in Notes.</t>
        </is>
      </c>
    </row>
    <row r="27" ht="20" customHeight="1">
      <c r="B27" s="27" t="inlineStr">
        <is>
          <t>Blocked</t>
        </is>
      </c>
      <c r="C27" s="28" t="inlineStr">
        <is>
          <t>You could not run it. Write why in Notes.</t>
        </is>
      </c>
    </row>
    <row r="28" ht="20" customHeight="1">
      <c r="B28" s="30" t="inlineStr">
        <is>
          <t>Not run</t>
        </is>
      </c>
      <c r="C28" s="31" t="inlineStr">
        <is>
          <t>Left blank, or not started.</t>
        </is>
      </c>
    </row>
    <row r="30">
      <c r="B30" s="33" t="inlineStr">
        <is>
          <t>Example of a filled result  ·  this is not a real test</t>
        </is>
      </c>
    </row>
    <row r="31">
      <c r="B31" s="34" t="inlineStr">
        <is>
          <t>ID</t>
        </is>
      </c>
      <c r="C31" s="34" t="inlineStr">
        <is>
          <t>Test</t>
        </is>
      </c>
      <c r="D31" s="34" t="inlineStr">
        <is>
          <t>Result</t>
        </is>
      </c>
      <c r="E31" s="34" t="inlineStr">
        <is>
          <t>Notes</t>
        </is>
      </c>
    </row>
    <row r="32" ht="22" customHeight="1">
      <c r="B32" s="35" t="inlineStr">
        <is>
          <t>DP-00</t>
        </is>
      </c>
      <c r="C32" s="35" t="inlineStr">
        <is>
          <t>Example only — do not test this row</t>
        </is>
      </c>
      <c r="D32" s="36" t="inlineStr">
        <is>
          <t>Pass</t>
        </is>
      </c>
      <c r="E32" s="37" t="inlineStr">
        <is>
          <t>Receipt number continued. Balance matched the report.</t>
        </is>
      </c>
    </row>
    <row r="33"/>
    <row r="34" ht="32" customHeight="1">
      <c r="B34" s="76" t="inlineStr">
        <is>
          <t>Before you start, UAT should have two doctors that can be selected on a bill, a patient, banks for card and slip, and permission for Patient Bills, Receipts, Receipt Manager, Doctor Payments, and Reports. Start, pause, and end the shift in Channeling. Doctor balance, the DPAY statement, and the till are in Channeling.</t>
        </is>
      </c>
    </row>
    <row r="35" ht="32" customHeight="1"/>
  </sheetData>
  <mergeCells count="21">
    <mergeCell ref="B4:F4"/>
    <mergeCell ref="C23:F23"/>
    <mergeCell ref="B16:F16"/>
    <mergeCell ref="B34:F35"/>
    <mergeCell ref="B3:F3"/>
    <mergeCell ref="B18:F18"/>
    <mergeCell ref="C28:F28"/>
    <mergeCell ref="B21:F21"/>
    <mergeCell ref="B2:F2"/>
    <mergeCell ref="B14:F14"/>
    <mergeCell ref="C24:F24"/>
    <mergeCell ref="B17:F17"/>
    <mergeCell ref="C26:F26"/>
    <mergeCell ref="B19:F19"/>
    <mergeCell ref="C25:F25"/>
    <mergeCell ref="C22:F22"/>
    <mergeCell ref="B30:F30"/>
    <mergeCell ref="B7:F12"/>
    <mergeCell ref="B6:F6"/>
    <mergeCell ref="B15:F15"/>
    <mergeCell ref="C27:F27"/>
  </mergeCells>
  <pageMargins left="0.5" right="0.5" top="0.5" bottom="0.5" header="0.5" footer="0.5"/>
  <pageSetup orientation="landscape" paperSize="9" fitToHeight="0" fitToWidth="1"/>
  <headerFooter>
    <oddHeader>&amp;LDPAY</oddHeader>
    <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H34"/>
  <sheetViews>
    <sheetView showGridLines="0" workbookViewId="0">
      <pane ySplit="4" topLeftCell="A5" activePane="bottomLeft" state="frozen"/>
      <selection pane="bottomLeft" activeCell="A1" sqref="A1"/>
    </sheetView>
  </sheetViews>
  <sheetFormatPr baseColWidth="8" defaultRowHeight="18"/>
  <cols>
    <col width="12" customWidth="1" min="1" max="1"/>
    <col width="20" customWidth="1" min="2" max="2"/>
    <col width="14" customWidth="1" min="3" max="3"/>
    <col width="36" customWidth="1" min="4" max="4"/>
    <col width="55" customWidth="1" min="5" max="5"/>
    <col width="55" customWidth="1" min="6" max="6"/>
    <col width="14" customWidth="1" min="7" max="7"/>
    <col width="32" customWidth="1" min="8" max="8"/>
  </cols>
  <sheetData>
    <row r="1" ht="26" customHeight="1">
      <c r="A1" s="39" t="inlineStr">
        <is>
          <t>DPAY  ·  test cases</t>
        </is>
      </c>
    </row>
    <row r="2" ht="32" customHeight="1">
      <c r="A2" s="40" t="inlineStr">
        <is>
          <t>Do the sections in order. Yellow cells only: choose a Result, and write Notes when something fails, when you are blocked, or when a case asks you to record a figure. DPAY payments do not split and do not withhold tax. Channeling withholding tax is in wht-test-cases.xlsx.</t>
        </is>
      </c>
    </row>
    <row r="3" ht="8" customHeight="1"/>
    <row r="4" ht="22" customHeight="1">
      <c r="A4" s="41" t="inlineStr">
        <is>
          <t>ID</t>
        </is>
      </c>
      <c r="B4" s="41" t="inlineStr">
        <is>
          <t>Area</t>
        </is>
      </c>
      <c r="C4" s="41" t="inlineStr">
        <is>
          <t>Who</t>
        </is>
      </c>
      <c r="D4" s="41" t="inlineStr">
        <is>
          <t>Test</t>
        </is>
      </c>
      <c r="E4" s="41" t="inlineStr">
        <is>
          <t>Steps</t>
        </is>
      </c>
      <c r="F4" s="41" t="inlineStr">
        <is>
          <t>Expected result</t>
        </is>
      </c>
      <c r="G4" s="41" t="inlineStr">
        <is>
          <t>Result</t>
        </is>
      </c>
      <c r="H4" s="41" t="inlineStr">
        <is>
          <t>Notes</t>
        </is>
      </c>
    </row>
    <row r="5" ht="24" customHeight="1">
      <c r="A5" s="42" t="inlineStr">
        <is>
          <t>A</t>
        </is>
      </c>
      <c r="B5" s="42" t="n"/>
      <c r="C5" s="42" t="n"/>
      <c r="D5" s="42" t="inlineStr">
        <is>
          <t>A.  Shift and bills</t>
        </is>
      </c>
      <c r="E5" s="42" t="n"/>
      <c r="F5" s="42" t="n"/>
      <c r="G5" s="42" t="n"/>
      <c r="H5" s="42" t="n"/>
    </row>
    <row r="6" ht="83" customHeight="1">
      <c r="A6" s="43" t="inlineStr">
        <is>
          <t>DP-01</t>
        </is>
      </c>
      <c r="B6" s="44" t="inlineStr">
        <is>
          <t>Shift and bills</t>
        </is>
      </c>
      <c r="C6" s="45" t="inlineStr">
        <is>
          <t>Cashier</t>
        </is>
      </c>
      <c r="D6" s="46" t="inlineStr">
        <is>
          <t>The shift is in Channeling</t>
        </is>
      </c>
      <c r="E6" s="47" t="inlineStr">
        <is>
          <t>1. With no shift, try to save a bill, add a charge, take a patient payment, and pay a doctor.
2. Start the shift in Channeling and look at the DPAY strip.
3. Pause the shift and try again.
4. Resume it.
5. Let the shift expire, or send it to handover, and try again.</t>
        </is>
      </c>
      <c r="F6" s="47" t="inlineStr">
        <is>
          <t>No shift says to start it in Channeling. A paused shift says to resume it. An expired shift, or one waiting for handover, says it has to be ended in Channeling. Nothing is saved in those cases. An active shift shows on the strip, and the bill, the charge, and both payments are allowed.</t>
        </is>
      </c>
      <c r="G6" s="36" t="n"/>
      <c r="H6" s="48" t="n"/>
    </row>
    <row r="7" ht="53" customHeight="1">
      <c r="A7" s="49" t="inlineStr">
        <is>
          <t>DP-02</t>
        </is>
      </c>
      <c r="B7" s="50" t="inlineStr">
        <is>
          <t>Shift and bills</t>
        </is>
      </c>
      <c r="C7" s="51" t="inlineStr">
        <is>
          <t>Cashier</t>
        </is>
      </c>
      <c r="D7" s="52" t="inlineStr">
        <is>
          <t>Bill and BHT numbers</t>
        </is>
      </c>
      <c r="E7" s="53" t="inlineStr">
        <is>
          <t>1. Create a bill and save.
2. Open a second create screen and save that too.
3. Try to save another bill with the same BHT.</t>
        </is>
      </c>
      <c r="F7" s="53" t="inlineStr">
        <is>
          <t>The BHT is BHT-, the year, and 6 digits. The bill number is BILL- and 6 digits. Numbers are given when you save, not when the page opens. The two bills do not share a number. The duplicate BHT is refused and the first bill is unchanged.</t>
        </is>
      </c>
      <c r="G7" s="36" t="n"/>
      <c r="H7" s="48" t="n"/>
    </row>
    <row r="8" ht="83" customHeight="1">
      <c r="A8" s="43" t="inlineStr">
        <is>
          <t>DP-03</t>
        </is>
      </c>
      <c r="B8" s="44" t="inlineStr">
        <is>
          <t>Shift and bills</t>
        </is>
      </c>
      <c r="C8" s="45" t="inlineStr">
        <is>
          <t>Cashier</t>
        </is>
      </c>
      <c r="D8" s="46" t="inlineStr">
        <is>
          <t>Charges, edits, and required fields</t>
        </is>
      </c>
      <c r="E8" s="47" t="inlineStr">
        <is>
          <t>1. Save a bill with no doctor charges.
2. Add charges and check the total.
3. Edit the patient name, NIC or phone, address, and discharge date.
4. Leave the customer name or the admission date empty and save.
5. Try a charge with no description, and a negative amount.</t>
        </is>
      </c>
      <c r="F8" s="47" t="inlineStr">
        <is>
          <t>No charges stays draft. With charges, the status is pending and the total matches the lines. Discharge date can be empty. A missing customer name or admission date is not saved. A charge needs a description and cannot be negative. Editing details does not change the bill number or the BHT.</t>
        </is>
      </c>
      <c r="G8" s="36" t="n"/>
      <c r="H8" s="48" t="n"/>
    </row>
    <row r="9" ht="53" customHeight="1">
      <c r="A9" s="49" t="inlineStr">
        <is>
          <t>DP-04</t>
        </is>
      </c>
      <c r="B9" s="50" t="inlineStr">
        <is>
          <t>Shift and bills</t>
        </is>
      </c>
      <c r="C9" s="51" t="inlineStr">
        <is>
          <t>Cashier</t>
        </is>
      </c>
      <c r="D9" s="52" t="inlineStr">
        <is>
          <t>Doctor on the line</t>
        </is>
      </c>
      <c r="E9" s="53" t="inlineStr">
        <is>
          <t>1. Add a charge without selecting the doctor.
2. Try to pay that doctor.
3. Select the doctor on the bill and load the payment again.</t>
        </is>
      </c>
      <c r="F9" s="53" t="inlineStr">
        <is>
          <t>Until the doctor is selected on the bill, the payment tells you to reselect the doctor and does not pay. After you select the doctor, the line can be paid.</t>
        </is>
      </c>
      <c r="G9" s="36" t="n"/>
      <c r="H9" s="48" t="n"/>
    </row>
    <row r="10" ht="53" customHeight="1">
      <c r="A10" s="43" t="inlineStr">
        <is>
          <t>DP-05</t>
        </is>
      </c>
      <c r="B10" s="44" t="inlineStr">
        <is>
          <t>Shift and bills</t>
        </is>
      </c>
      <c r="C10" s="45" t="inlineStr">
        <is>
          <t>Cashier</t>
        </is>
      </c>
      <c r="D10" s="46" t="inlineStr">
        <is>
          <t>Find a bill</t>
        </is>
      </c>
      <c r="E10" s="47" t="inlineStr">
        <is>
          <t>1. On Patient Bills, search by the patient name, the bill number, and the BHT.
2. Filter Draft, Pending, Partially Paid, Paid, Over Paid, Closed, and Cancelled.
3. Filter a date range that includes the bill, then one that does not.</t>
        </is>
      </c>
      <c r="F10" s="47" t="inlineStr">
        <is>
          <t>Search finds the bill by name, bill number, or BHT, and does not show unrelated bills. Each status filter shows only that status. The date range includes the bill only when the admission date is inside it.</t>
        </is>
      </c>
      <c r="G10" s="36" t="n"/>
      <c r="H10" s="48" t="n"/>
    </row>
    <row r="11" ht="38" customHeight="1">
      <c r="A11" s="49" t="inlineStr">
        <is>
          <t>DP-06</t>
        </is>
      </c>
      <c r="B11" s="50" t="inlineStr">
        <is>
          <t>Shift and bills</t>
        </is>
      </c>
      <c r="C11" s="51" t="inlineStr">
        <is>
          <t>Cashier</t>
        </is>
      </c>
      <c r="D11" s="52" t="inlineStr">
        <is>
          <t>Add a charge after money has been taken</t>
        </is>
      </c>
      <c r="E11" s="53" t="inlineStr">
        <is>
          <t>1. On a partly paid bill, add another doctor charge.
2. On a fully paid bill, add one more charge.</t>
        </is>
      </c>
      <c r="F11" s="53" t="inlineStr">
        <is>
          <t>The total and the balance due go up. The bill number stays the same. A paid bill becomes partially paid when the new total is more than what was received. The new line is still unpaid to the doctor and appears when you load that doctor.</t>
        </is>
      </c>
      <c r="G11" s="36" t="n"/>
      <c r="H11" s="48" t="n"/>
    </row>
    <row r="12" ht="68" customHeight="1">
      <c r="A12" s="43" t="inlineStr">
        <is>
          <t>DP-07</t>
        </is>
      </c>
      <c r="B12" s="44" t="inlineStr">
        <is>
          <t>Shift and bills</t>
        </is>
      </c>
      <c r="C12" s="45" t="inlineStr">
        <is>
          <t>Cashier</t>
        </is>
      </c>
      <c r="D12" s="46" t="inlineStr">
        <is>
          <t>Remove a charge</t>
        </is>
      </c>
      <c r="E12" s="47" t="inlineStr">
        <is>
          <t>1. Try to remove a line with no remark.
2. Remove one with a remark, and open its history.
3. On a fully paid bill, remove a charge so the amount paid is higher than the new total.
4. Try to remove a line that was already paid to the doctor.</t>
        </is>
      </c>
      <c r="F12" s="47" t="inlineStr">
        <is>
          <t>No remark is refused. With a remark, the line drops out of the total and stays in the line history as removed, with that remark. If the patient has already paid more than the new total, the bill becomes overpaid. A line linked to a doctor payment cannot be removed until that doctor payment is canceled.</t>
        </is>
      </c>
      <c r="G12" s="36" t="n"/>
      <c r="H12" s="48" t="n"/>
    </row>
    <row r="13" ht="38" customHeight="1">
      <c r="A13" s="49" t="inlineStr">
        <is>
          <t>DP-08</t>
        </is>
      </c>
      <c r="B13" s="50" t="inlineStr">
        <is>
          <t>Shift and bills</t>
        </is>
      </c>
      <c r="C13" s="51" t="inlineStr">
        <is>
          <t>Cashier</t>
        </is>
      </c>
      <c r="D13" s="52" t="inlineStr">
        <is>
          <t>A closed or cancelled bill stays locked</t>
        </is>
      </c>
      <c r="E13" s="53" t="inlineStr">
        <is>
          <t>1. On a closed bill, try to edit details, add a line, remove a line, and take a payment.
2. Do the same on a cancelled bill.</t>
        </is>
      </c>
      <c r="F13" s="53" t="inlineStr">
        <is>
          <t>Each action is refused. The totals, the lines, and the status stay as they were.</t>
        </is>
      </c>
      <c r="G13" s="36" t="n"/>
      <c r="H13" s="48" t="n"/>
    </row>
    <row r="14" ht="24" customHeight="1">
      <c r="A14" s="42" t="inlineStr">
        <is>
          <t>B</t>
        </is>
      </c>
      <c r="B14" s="42" t="n"/>
      <c r="C14" s="42" t="n"/>
      <c r="D14" s="42" t="inlineStr">
        <is>
          <t>B.  Patient payments</t>
        </is>
      </c>
      <c r="E14" s="42" t="n"/>
      <c r="F14" s="42" t="n"/>
      <c r="G14" s="42" t="n"/>
      <c r="H14" s="42" t="n"/>
    </row>
    <row r="15" ht="53" customHeight="1">
      <c r="A15" s="43" t="inlineStr">
        <is>
          <t>DP-09</t>
        </is>
      </c>
      <c r="B15" s="44" t="inlineStr">
        <is>
          <t>Patient payments</t>
        </is>
      </c>
      <c r="C15" s="45" t="inlineStr">
        <is>
          <t>Cashier</t>
        </is>
      </c>
      <c r="D15" s="46" t="inlineStr">
        <is>
          <t>Part payment, then the rest</t>
        </is>
      </c>
      <c r="E15" s="47" t="inlineStr">
        <is>
          <t>1. Try to take a payment of zero.
2. Take a cash payment for part of the bill.
3. Pay what is left.</t>
        </is>
      </c>
      <c r="F15" s="47" t="inlineStr">
        <is>
          <t>Zero is refused. The first receipt is {branch}DPAY/ and 8 digits. Status becomes partially paid and the balance is what is left. The second payment makes the status paid and the balance zero. Both receipts show on the bill.</t>
        </is>
      </c>
      <c r="G15" s="36" t="n"/>
      <c r="H15" s="48" t="n"/>
    </row>
    <row r="16" ht="53" customHeight="1">
      <c r="A16" s="49" t="inlineStr">
        <is>
          <t>DP-10</t>
        </is>
      </c>
      <c r="B16" s="50" t="inlineStr">
        <is>
          <t>Patient payments</t>
        </is>
      </c>
      <c r="C16" s="51" t="inlineStr">
        <is>
          <t>Cashier</t>
        </is>
      </c>
      <c r="D16" s="52" t="inlineStr">
        <is>
          <t>Overpay, then refund only the extra</t>
        </is>
      </c>
      <c r="E16" s="53" t="inlineStr">
        <is>
          <t>1. Pay more than the bill.
2. On a bill that is paid exactly, try to refund an excess.
3. On the overpaid bill, refund the excess.</t>
        </is>
      </c>
      <c r="F16" s="53" t="inlineStr">
        <is>
          <t>Status becomes overpaid and the extra shows as excess. A bill that is not overpaid cannot take this refund. The excess refund is {branch}DPAY-OVR/ and 8 digits, for the extra only, not for the whole payment. The excess becomes zero and the status becomes paid. This number series is separate from DPAY/ and from DPAY-REF/.</t>
        </is>
      </c>
      <c r="G16" s="36" t="n"/>
      <c r="H16" s="48" t="n"/>
    </row>
    <row r="17" ht="53" customHeight="1">
      <c r="A17" s="43" t="inlineStr">
        <is>
          <t>DP-11</t>
        </is>
      </c>
      <c r="B17" s="44" t="inlineStr">
        <is>
          <t>Patient payments</t>
        </is>
      </c>
      <c r="C17" s="45" t="inlineStr">
        <is>
          <t>Cashier</t>
        </is>
      </c>
      <c r="D17" s="46" t="inlineStr">
        <is>
          <t>Every payment method, and the printed receipt</t>
        </is>
      </c>
      <c r="E17" s="47" t="inlineStr">
        <is>
          <t>1. Take a payment in cash, card, slip, cheque, credit, and e-wallet.
2. Once each, leave out the card digits, the slip reference, the cheque number, and the e-wallet reference.
3. Print a cash receipt.</t>
        </is>
      </c>
      <c r="F17" s="47" t="inlineStr">
        <is>
          <t>Card needs the bank and the last 4 digits. A slip needs the bank, the slip reference, and the slip date. A cheque needs the bank, the cheque number, and the cheque date. E-wallet needs its reference. Cash and credit do not. A missing reference is not saved. The printed receipt shows the patient, the bill number, the method, and the amount you took.</t>
        </is>
      </c>
      <c r="G17" s="36" t="n"/>
      <c r="H17" s="48" t="n"/>
    </row>
    <row r="18" ht="53" customHeight="1">
      <c r="A18" s="49" t="inlineStr">
        <is>
          <t>DP-12</t>
        </is>
      </c>
      <c r="B18" s="50" t="inlineStr">
        <is>
          <t>Patient payments</t>
        </is>
      </c>
      <c r="C18" s="51" t="inlineStr">
        <is>
          <t>Cashier</t>
        </is>
      </c>
      <c r="D18" s="52" t="inlineStr">
        <is>
          <t>Receipt numbers stay in one series</t>
        </is>
      </c>
      <c r="E18" s="53" t="inlineStr">
        <is>
          <t>1. Note the last DPAY number.
2. Take a patient payment, then a doctor payment, then another patient payment.
3. Cancel one patient receipt.</t>
        </is>
      </c>
      <c r="F18" s="53" t="inlineStr">
        <is>
          <t>Patient receipts and doctor payments share {branch}DPAY/. Each one takes the next number. They do not reuse or skip. A cancel uses DPAY-REF/ and does not consume a DPAY/ number.</t>
        </is>
      </c>
      <c r="G18" s="36" t="n"/>
      <c r="H18" s="48" t="n"/>
    </row>
    <row r="19" ht="83" customHeight="1">
      <c r="A19" s="43" t="inlineStr">
        <is>
          <t>DP-13</t>
        </is>
      </c>
      <c r="B19" s="44" t="inlineStr">
        <is>
          <t>Patient payments</t>
        </is>
      </c>
      <c r="C19" s="45" t="inlineStr">
        <is>
          <t>Cashier</t>
        </is>
      </c>
      <c r="D19" s="46" t="inlineStr">
        <is>
          <t>Cancel one receipt, and the refund method</t>
        </is>
      </c>
      <c r="E19" s="47" t="inlineStr">
        <is>
          <t>1. Take two payments on one bill. Cancel only the first, with a reason.
2. Try to cancel with no reason.
3. On a cash payment, try to refund it as card.
4. On a card payment, refund it as cash, and on another card payment refund it as card.
5. Try to cancel the original again, and try to cancel the refund receipt.</t>
        </is>
      </c>
      <c r="F19" s="47" t="inlineStr">
        <is>
          <t>A reason is required. Only the receipt you cancel is voided. The other stays active, and the balance is what that remaining receipt still covers. A cash payment can be refunded only as cash. A card, slip, cheque, credit, or e-wallet payment can be refunded as that same method or as cash. A method that is not allowed is refused and the receipt stays active. The cancel number is {branch}DPAY-REF/. The original cannot be canceled again, and the refund receipt itself cannot be canceled.</t>
        </is>
      </c>
      <c r="G19" s="36" t="n"/>
      <c r="H19" s="48" t="n"/>
    </row>
    <row r="20" ht="98" customHeight="1">
      <c r="A20" s="49" t="inlineStr">
        <is>
          <t>DP-14</t>
        </is>
      </c>
      <c r="B20" s="50" t="inlineStr">
        <is>
          <t>Patient payments</t>
        </is>
      </c>
      <c r="C20" s="51" t="inlineStr">
        <is>
          <t>Cashier</t>
        </is>
      </c>
      <c r="D20" s="52" t="inlineStr">
        <is>
          <t>Close and cancel the bill</t>
        </is>
      </c>
      <c r="E20" s="53" t="inlineStr">
        <is>
          <t>1. Try to close a pending or partial bill, and a cancelled bill.
2. Close a paid bill and try to edit it. Also close an overpaid bill.
3. With a doctor payment still active, try to cancel the bill.
4. On an open bill that still has doctor charges, try to cancel it. Remove those charges, then cancel.
5. Cancel a paid bill that has two receipts.
6. On a closed bill, try to cancel one receipt on its own, then cancel the whole bill.</t>
        </is>
      </c>
      <c r="F20" s="53" t="inlineStr">
        <is>
          <t>Only a paid or overpaid bill can be closed. A closed bill cannot be edited, and a cancelled bill cannot be closed. Cancel is refused while a doctor payment is still active, and refused on an open bill that still has doctor charges. After those charges are removed, cancel is allowed. Canceling a paid bill voids each active receipt with its own DPAY-REF number. A closed bill can be canceled. One receipt on a closed bill cannot be canceled on its own.</t>
        </is>
      </c>
      <c r="G20" s="36" t="n"/>
      <c r="H20" s="48" t="n"/>
    </row>
    <row r="21" ht="53" customHeight="1">
      <c r="A21" s="43" t="inlineStr">
        <is>
          <t>DP-15</t>
        </is>
      </c>
      <c r="B21" s="44" t="inlineStr">
        <is>
          <t>Patient payments</t>
        </is>
      </c>
      <c r="C21" s="45" t="inlineStr">
        <is>
          <t>Cashier</t>
        </is>
      </c>
      <c r="D21" s="46" t="inlineStr">
        <is>
          <t>Receipt list and receipt manager</t>
        </is>
      </c>
      <c r="E21" s="47" t="inlineStr">
        <is>
          <t>1. On Receipts, search the receipt number.
2. Filter by method, and by Active, Cancelled, and Refund, and by date.
3. Open the payment in Receipt Manager, then open its cancel.</t>
        </is>
      </c>
      <c r="F21" s="47" t="inlineStr">
        <is>
          <t>Search and each filter show only the matching receipts. Receipt Manager opens the receipt and shows the till journal for that payment: the amount, the method, and the doctor share. The refund slip shows the refund journal. A receipt from another date or method does not appear in the filter.</t>
        </is>
      </c>
      <c r="G21" s="36" t="n"/>
      <c r="H21" s="48" t="n"/>
    </row>
    <row r="22" ht="24" customHeight="1">
      <c r="A22" s="42" t="inlineStr">
        <is>
          <t>C</t>
        </is>
      </c>
      <c r="B22" s="42" t="n"/>
      <c r="C22" s="42" t="n"/>
      <c r="D22" s="42" t="inlineStr">
        <is>
          <t>C.  Doctor payments</t>
        </is>
      </c>
      <c r="E22" s="42" t="n"/>
      <c r="F22" s="42" t="n"/>
      <c r="G22" s="42" t="n"/>
      <c r="H22" s="42" t="n"/>
    </row>
    <row r="23" ht="68" customHeight="1">
      <c r="A23" s="49" t="inlineStr">
        <is>
          <t>DP-16</t>
        </is>
      </c>
      <c r="B23" s="50" t="inlineStr">
        <is>
          <t>Doctor payments</t>
        </is>
      </c>
      <c r="C23" s="51" t="inlineStr">
        <is>
          <t>Cashier</t>
        </is>
      </c>
      <c r="D23" s="52" t="inlineStr">
        <is>
          <t>Pay one doctor before the patient pays</t>
        </is>
      </c>
      <c r="E23" s="53" t="inlineStr">
        <is>
          <t>1. On a pending bill, add a charge for doctor A and a charge for doctor B.
2. Load doctor A, then doctor B, before the patient has paid anything.
3. Pay only doctor A.
4. Load a draft bill, a cancelled bill, and a closed bill for a doctor.</t>
        </is>
      </c>
      <c r="F23" s="53" t="inlineStr">
        <is>
          <t>Both doctors are offered even though the patient has not paid. The patient's balance does not change when the doctor is paid. Paying doctor A leaves doctor B's lines eligible. Draft, cancelled, and closed bills are not offered.</t>
        </is>
      </c>
      <c r="G23" s="36" t="n"/>
      <c r="H23" s="48" t="n"/>
    </row>
    <row r="24" ht="68" customHeight="1">
      <c r="A24" s="43" t="inlineStr">
        <is>
          <t>DP-17</t>
        </is>
      </c>
      <c r="B24" s="44" t="inlineStr">
        <is>
          <t>Doctor payments</t>
        </is>
      </c>
      <c r="C24" s="45" t="inlineStr">
        <is>
          <t>Cashier</t>
        </is>
      </c>
      <c r="D24" s="46" t="inlineStr">
        <is>
          <t>Pay some bills, not all</t>
        </is>
      </c>
      <c r="E24" s="47" t="inlineStr">
        <is>
          <t>1. Give one doctor two charges on the same bill, and charges on a second bill.
2. Load the doctor and pay only the second bill.
3. Load the doctor again and try to pay the same bill.
4. Try a line that has nothing left to pay.</t>
        </is>
      </c>
      <c r="F24" s="47" t="inlineStr">
        <is>
          <t>The two charges on one bill are one payable amount. Only the bill you select is paid, on one DPAY/ receipt. The other bill is still waiting. Paying the same lines again is refused. A line with nothing to pay is refused. Removed lines are not in the list.</t>
        </is>
      </c>
      <c r="G24" s="36" t="n"/>
      <c r="H24" s="48" t="n"/>
    </row>
    <row r="25" ht="53" customHeight="1">
      <c r="A25" s="49" t="inlineStr">
        <is>
          <t>DP-18</t>
        </is>
      </c>
      <c r="B25" s="50" t="inlineStr">
        <is>
          <t>Doctor payments</t>
        </is>
      </c>
      <c r="C25" s="51" t="inlineStr">
        <is>
          <t>Cashier</t>
        </is>
      </c>
      <c r="D25" s="52" t="inlineStr">
        <is>
          <t>Method, reference, and remark</t>
        </is>
      </c>
      <c r="E25" s="53" t="inlineStr">
        <is>
          <t>1. Pay a doctor in cash, card, slip, cheque, credit, and e-wallet. Use a fresh set of lines each time.
2. Leave a card reference empty once, and leave a cheque number empty once.
3. Enter a remark and print.</t>
        </is>
      </c>
      <c r="F25" s="53" t="inlineStr">
        <is>
          <t>Card, slip, cheque, and e-wallet follow the same reference rules as a patient payment. Cash and credit do not need one. A missing reference is refused and no receipt is created. The remark is stored on the payment and shows on the printed slip, with the doctor, the bills, and the amount.</t>
        </is>
      </c>
      <c r="G25" s="36" t="n"/>
      <c r="H25" s="48" t="n"/>
    </row>
    <row r="26" ht="98" customHeight="1">
      <c r="A26" s="43" t="inlineStr">
        <is>
          <t>DP-19</t>
        </is>
      </c>
      <c r="B26" s="44" t="inlineStr">
        <is>
          <t>Doctor payments</t>
        </is>
      </c>
      <c r="C26" s="45" t="inlineStr">
        <is>
          <t>Cashier</t>
        </is>
      </c>
      <c r="D26" s="46" t="inlineStr">
        <is>
          <t>Print and cancel a doctor payment</t>
        </is>
      </c>
      <c r="E26" s="47" t="inlineStr">
        <is>
          <t>1. Print the payment, then print it again.
2. Cancel with no reason.
3. Cancel a cash payment and try to refund it as card.
4. Cancel a card payment as cash.
5. Try to cancel it again, and try to cancel the refund.
6. Load the doctor again.</t>
        </is>
      </c>
      <c r="F26" s="47" t="inlineStr">
        <is>
          <t>Reprint shows the same slip. Cancel needs a reason. A cash doctor payment can be refunded only as cash. Any other method can be refunded as that method or as cash. The cancel creates DPAY-REF/. The lines can be paid again. You cannot cancel twice, and you cannot cancel the refund receipt. There is no second receipt and no tax on a DPAY payment.</t>
        </is>
      </c>
      <c r="G26" s="36" t="n"/>
      <c r="H26" s="48" t="n"/>
    </row>
    <row r="27" ht="53" customHeight="1">
      <c r="A27" s="49" t="inlineStr">
        <is>
          <t>DP-20</t>
        </is>
      </c>
      <c r="B27" s="50" t="inlineStr">
        <is>
          <t>Doctor payments</t>
        </is>
      </c>
      <c r="C27" s="51" t="inlineStr">
        <is>
          <t>Cashier</t>
        </is>
      </c>
      <c r="D27" s="52" t="inlineStr">
        <is>
          <t>Doctor payment list</t>
        </is>
      </c>
      <c r="E27" s="53" t="inlineStr">
        <is>
          <t>1. Search by the receipt number and by the doctor.
2. Filter by the payment method.
3. Filter Paid, then Cancelled, then Refund.</t>
        </is>
      </c>
      <c r="F27" s="53" t="inlineStr">
        <is>
          <t>Search finds that payment and not another doctor's. The method filter matches how it was paid. After cancel, the original is under Cancelled and the DPAY-REF receipt is under Refund.</t>
        </is>
      </c>
      <c r="G27" s="36" t="n"/>
      <c r="H27" s="48" t="n"/>
    </row>
    <row r="28" ht="24" customHeight="1">
      <c r="A28" s="42" t="inlineStr">
        <is>
          <t>D</t>
        </is>
      </c>
      <c r="B28" s="42" t="n"/>
      <c r="C28" s="42" t="n"/>
      <c r="D28" s="42" t="inlineStr">
        <is>
          <t>D.  Balances and reports</t>
        </is>
      </c>
      <c r="E28" s="42" t="n"/>
      <c r="F28" s="42" t="n"/>
      <c r="G28" s="42" t="n"/>
      <c r="H28" s="42" t="n"/>
    </row>
    <row r="29" ht="68" customHeight="1">
      <c r="A29" s="43" t="inlineStr">
        <is>
          <t>DP-21</t>
        </is>
      </c>
      <c r="B29" s="44" t="inlineStr">
        <is>
          <t>Balances and reports</t>
        </is>
      </c>
      <c r="C29" s="45" t="inlineStr">
        <is>
          <t>Accounts</t>
        </is>
      </c>
      <c r="D29" s="46" t="inlineStr">
        <is>
          <t>DPAY balance after a payment</t>
        </is>
      </c>
      <c r="E29" s="47" t="inlineStr">
        <is>
          <t>1. In Channeling, note DPAY Doctor Balance for this doctor as of today, and the channeling Doctor Balance.
2. Make a DPAY doctor payment.
3. Run both balance reports again.
4. Pay a second doctor and check the first doctor's balance.</t>
        </is>
      </c>
      <c r="F29" s="47" t="inlineStr">
        <is>
          <t>Before the payment, DPAY Doctor Balance matches the doctor's DPAY statement. After it, DPAY Doctor Balance falls by the full amount paid. No tax is withheld. The channeling Doctor Balance does not change. The other doctor's DPAY balance does not change. Write both figures in Notes.</t>
        </is>
      </c>
      <c r="G29" s="36" t="n"/>
      <c r="H29" s="48" t="n"/>
    </row>
    <row r="30" ht="68" customHeight="1">
      <c r="A30" s="49" t="inlineStr">
        <is>
          <t>DP-22</t>
        </is>
      </c>
      <c r="B30" s="50" t="inlineStr">
        <is>
          <t>Balances and reports</t>
        </is>
      </c>
      <c r="C30" s="51" t="inlineStr">
        <is>
          <t>Accounts</t>
        </is>
      </c>
      <c r="D30" s="52" t="inlineStr">
        <is>
          <t>DPAY statement, including cancel</t>
        </is>
      </c>
      <c r="E30" s="53" t="inlineStr">
        <is>
          <t>1. Open Reports → DPAY Doctor Statement for the payment dates.
2. Run a range that ends the day before the payment.
3. Run it without choosing a doctor.
4. Cancel the payment and run the statement and DPAY Doctor Balance again.</t>
        </is>
      </c>
      <c r="F30" s="53" t="inlineStr">
        <is>
          <t>A doctor is required, and a range is required. The statement shows the payment, and the running balance matches DPAY Doctor Balance. A range before the payment does not include it. After cancel, the balance returns to the figure you wrote down and the cancel is its own line. A channeling split does not appear on this statement.</t>
        </is>
      </c>
      <c r="G30" s="36" t="n"/>
      <c r="H30" s="48" t="n"/>
    </row>
    <row r="31" ht="53" customHeight="1">
      <c r="A31" s="43" t="inlineStr">
        <is>
          <t>DP-23</t>
        </is>
      </c>
      <c r="B31" s="44" t="inlineStr">
        <is>
          <t>Balances and reports</t>
        </is>
      </c>
      <c r="C31" s="45" t="inlineStr">
        <is>
          <t>Accounts</t>
        </is>
      </c>
      <c r="D31" s="46" t="inlineStr">
        <is>
          <t>Doctor Payment Report and Doctor Due</t>
        </is>
      </c>
      <c r="E31" s="47" t="inlineStr">
        <is>
          <t>1. Open Doctor Payment Report for the payment date. Print and export.
2. Open Doctor Due before the payment, after it, after you add a new line, after you remove a line, and after you cancel the payment.
3. Check a pending patient bill that has not been paid by the patient.</t>
        </is>
      </c>
      <c r="F31" s="47" t="inlineStr">
        <is>
          <t>The report lists the payment with the doctor, the bills, and the amount. After cancel it shows the original as canceled and lists the DPAY-REF receipt. Print and export match the screen. Doctor Due shows the unpaid doctor fee even when the patient has not paid. It drops the lines when they are paid to the doctor, shows a newly added line, hides a removed line, and shows the paid lines again after cancel. It does not show channeling bookings.</t>
        </is>
      </c>
      <c r="G31" s="36" t="n"/>
      <c r="H31" s="48" t="n"/>
    </row>
    <row r="32" ht="68" customHeight="1">
      <c r="A32" s="49" t="inlineStr">
        <is>
          <t>DP-24</t>
        </is>
      </c>
      <c r="B32" s="50" t="inlineStr">
        <is>
          <t>Balances and reports</t>
        </is>
      </c>
      <c r="C32" s="51" t="inlineStr">
        <is>
          <t>Accounts</t>
        </is>
      </c>
      <c r="D32" s="52" t="inlineStr">
        <is>
          <t>The other reports</t>
        </is>
      </c>
      <c r="E32" s="53" t="inlineStr">
        <is>
          <t>1. Open Receipt Report, Patient Due, Patient Excess, Admission List, and User Activity.
2. On each one, filter the date, search, print, and export.
3. Check the overpaid bill before and after the excess refund.
4. On Receipt Report, find the patient payment, its DPAY-REF cancel, and the DPAY-OVR refund.</t>
        </is>
      </c>
      <c r="F32" s="53" t="inlineStr">
        <is>
          <t>Each report opens and the filter, print, and export match the screen. Patient Due lists pending and partial bills only, so a paid bill drops off. Patient Excess lists the overpaid bill and drops it after the refund. Admission List shows the new BHT and bill number. Receipt Report shows the payment, the cancel, and the excess refund on their own number series. User Activity shows the bill, the payment, and the cancel.</t>
        </is>
      </c>
      <c r="G32" s="36" t="n"/>
      <c r="H32" s="48" t="n"/>
    </row>
    <row r="33" ht="68" customHeight="1">
      <c r="A33" s="43" t="inlineStr">
        <is>
          <t>DP-25</t>
        </is>
      </c>
      <c r="B33" s="44" t="inlineStr">
        <is>
          <t>Balances and reports</t>
        </is>
      </c>
      <c r="C33" s="45" t="inlineStr">
        <is>
          <t>Accounts</t>
        </is>
      </c>
      <c r="D33" s="46" t="inlineStr">
        <is>
          <t>The Channeling till</t>
        </is>
      </c>
      <c r="E33" s="47" t="inlineStr">
        <is>
          <t>1. Note the till in Channeling for this shift.
2. Take a DPAY patient payment, then a DPAY doctor payment.
3. Cancel each one.
4. Open the cashier summary, or the shift, in Channeling.</t>
        </is>
      </c>
      <c r="F33" s="47" t="inlineStr">
        <is>
          <t>The patient payment increases the till. The doctor payment decreases it by the full amount, with no tax held back. Each cancel reverses its own movement. A payment that was refused leaves no till line. The amounts match the DPAY receipts.</t>
        </is>
      </c>
      <c r="G33" s="36" t="n"/>
      <c r="H33" s="48" t="n"/>
    </row>
    <row r="34" ht="53" customHeight="1">
      <c r="A34" s="49" t="inlineStr">
        <is>
          <t>DP-26</t>
        </is>
      </c>
      <c r="B34" s="50" t="inlineStr">
        <is>
          <t>Balances and reports</t>
        </is>
      </c>
      <c r="C34" s="51" t="inlineStr">
        <is>
          <t>Cashier</t>
        </is>
      </c>
      <c r="D34" s="52" t="inlineStr">
        <is>
          <t>Menus follow permission</t>
        </is>
      </c>
      <c r="E34" s="53" t="inlineStr">
        <is>
          <t>1. Sign in as a user who does not have Doctor Payments, and try to open that page.
2. Do the same for Patient Bills, Receipts, and Reports if that user is missing them.
3. Sign in as an admin.</t>
        </is>
      </c>
      <c r="F34" s="53" t="inlineStr">
        <is>
          <t>A user without a menu does not see it and cannot open the page. An admin sees Dashboard, Patient Bills, Receipts, Receipt Manager, Doctor Payments, and Reports.</t>
        </is>
      </c>
      <c r="G34" s="36" t="n"/>
      <c r="H34" s="48" t="n"/>
    </row>
  </sheetData>
  <autoFilter ref="A4:H34"/>
  <mergeCells count="2">
    <mergeCell ref="A2:H2"/>
    <mergeCell ref="A1:H1"/>
  </mergeCells>
  <conditionalFormatting sqref="G5:G34">
    <cfRule type="expression" priority="5" dxfId="0">
      <formula>G5="Pass"</formula>
    </cfRule>
    <cfRule type="expression" priority="6" dxfId="1">
      <formula>G5="Fail"</formula>
    </cfRule>
    <cfRule type="expression" priority="7" dxfId="2">
      <formula>G5="Blocked"</formula>
    </cfRule>
    <cfRule type="expression" priority="8" dxfId="3">
      <formula>G5="Not run"</formula>
    </cfRule>
  </conditionalFormatting>
  <dataValidations count="1">
    <dataValidation sqref="G5:G34" showDropDown="0" showInputMessage="1" showErrorMessage="1" allowBlank="1" errorTitle="Result" error="Choose Pass, Fail, Blocked, or Not run" promptTitle="Result" prompt="Pass, Fail, Blocked, or Not run" type="list">
      <formula1>=Lists!$A$1:$A$4</formula1>
    </dataValidation>
  </dataValidations>
  <pageMargins left="0.4" right="0.4" top="0.5" bottom="0.5" header="0.25" footer="0.25"/>
  <pageSetup orientation="landscape" paperSize="9" scale="70" fitToHeight="0" fitToWidth="1"/>
  <headerFooter>
    <oddHeader/>
    <oddFooter>&amp;LDPAY  ·  test cases&amp;RPage &amp;P of &amp;N</oddFooter>
    <evenHeader/>
    <evenFooter/>
    <firstHeader/>
    <firstFooter/>
  </headerFooter>
</worksheet>
</file>

<file path=xl/worksheets/sheet3.xml><?xml version="1.0" encoding="utf-8"?>
<worksheet xmlns="http://schemas.openxmlformats.org/spreadsheetml/2006/main">
  <sheetPr>
    <tabColor rgb="001E7A46"/>
    <outlinePr summaryBelow="1" summaryRight="1"/>
    <pageSetUpPr fitToPage="1"/>
  </sheetPr>
  <dimension ref="A1:G33"/>
  <sheetViews>
    <sheetView showGridLines="0" workbookViewId="0">
      <pane ySplit="3" topLeftCell="A4" activePane="bottomLeft" state="frozen"/>
      <selection pane="bottomLeft" activeCell="A1" sqref="A1"/>
    </sheetView>
  </sheetViews>
  <sheetFormatPr baseColWidth="8" defaultRowHeight="18"/>
  <cols>
    <col width="28" customWidth="1" min="1" max="1"/>
    <col width="16" customWidth="1" min="2" max="2"/>
    <col width="16" customWidth="1" min="3" max="3"/>
    <col width="18" customWidth="1" min="4" max="4"/>
    <col width="18" customWidth="1" min="5" max="5"/>
    <col width="16" customWidth="1" min="6" max="6"/>
    <col width="28" customWidth="1" min="7" max="7"/>
  </cols>
  <sheetData>
    <row r="1" ht="28" customHeight="1">
      <c r="A1" s="54" t="inlineStr">
        <is>
          <t>Sign-off</t>
        </is>
      </c>
    </row>
    <row r="2" ht="20" customHeight="1">
      <c r="A2" s="55" t="inlineStr">
        <is>
          <t>Counts and the overall result come from the Test Cases sheet. Type only in the yellow cells.</t>
        </is>
      </c>
    </row>
    <row r="3" ht="8" customHeight="1"/>
    <row r="4">
      <c r="A4" s="4" t="inlineStr">
        <is>
          <t>Tester</t>
        </is>
      </c>
      <c r="D4" s="4" t="inlineStr">
        <is>
          <t>Overall result</t>
        </is>
      </c>
    </row>
    <row r="5" ht="28" customHeight="1">
      <c r="A5" s="56" t="inlineStr">
        <is>
          <t>Name</t>
        </is>
      </c>
      <c r="B5" s="57" t="n"/>
      <c r="C5" s="77" t="n"/>
      <c r="D5" s="56" t="inlineStr">
        <is>
          <t>Result</t>
        </is>
      </c>
      <c r="E5" s="39">
        <f>IF(D12&gt;0,"Not accepted",IF(F12&gt;0,"Incomplete",IF(E12&gt;0,"Accepted with blockers","Accepted")))</f>
        <v/>
      </c>
    </row>
    <row r="6" ht="22" customHeight="1">
      <c r="A6" s="56" t="inlineStr">
        <is>
          <t>Role</t>
        </is>
      </c>
      <c r="B6" s="57" t="n"/>
      <c r="C6" s="77" t="n"/>
      <c r="D6" s="56" t="inlineStr">
        <is>
          <t>Pass rate</t>
        </is>
      </c>
      <c r="E6" s="59">
        <f>IF(B12=0,"—",C12/B12)</f>
        <v/>
      </c>
    </row>
    <row r="7" ht="22" customHeight="1">
      <c r="A7" s="56" t="inlineStr">
        <is>
          <t>Date tested</t>
        </is>
      </c>
      <c r="B7" s="57" t="n"/>
      <c r="C7" s="77" t="n"/>
      <c r="D7" s="60" t="inlineStr">
        <is>
          <t>Accepted — every case is Pass.
Accepted with blockers — no failures, but at least one case is Blocked.
Incomplete — at least one case is still blank or Not run.
Not accepted — at least one case is Fail.</t>
        </is>
      </c>
    </row>
    <row r="8" ht="22" customHeight="1">
      <c r="A8" s="56" t="inlineStr">
        <is>
          <t>Environment / URL</t>
        </is>
      </c>
      <c r="B8" s="57" t="n"/>
      <c r="C8" s="77" t="n"/>
    </row>
    <row r="9" ht="22" customHeight="1">
      <c r="A9" s="56" t="inlineStr">
        <is>
          <t>Version or build, if you have it</t>
        </is>
      </c>
      <c r="B9" s="57" t="n"/>
      <c r="C9" s="77" t="n"/>
    </row>
    <row r="10" ht="8" customHeight="1"/>
    <row r="11">
      <c r="A11" s="41" t="inlineStr">
        <is>
          <t>Cases</t>
        </is>
      </c>
      <c r="B11" s="41" t="inlineStr">
        <is>
          <t>Total</t>
        </is>
      </c>
      <c r="C11" s="41" t="inlineStr">
        <is>
          <t>Passed</t>
        </is>
      </c>
      <c r="D11" s="41" t="inlineStr">
        <is>
          <t>Failed</t>
        </is>
      </c>
      <c r="E11" s="41" t="inlineStr">
        <is>
          <t>Blocked</t>
        </is>
      </c>
      <c r="F11" s="41" t="inlineStr">
        <is>
          <t>Not run</t>
        </is>
      </c>
    </row>
    <row r="12" ht="26" customHeight="1">
      <c r="A12" s="61" t="inlineStr">
        <is>
          <t>All cases</t>
        </is>
      </c>
      <c r="B12" s="62">
        <f>COUNTIF('Test Cases'!$A$5:$A$34,"*-*")</f>
        <v/>
      </c>
      <c r="C12" s="62">
        <f>COUNTIFS('Test Cases'!$A$5:$A$34,"*-*",'Test Cases'!$G$5:$G$34,"Pass")</f>
        <v/>
      </c>
      <c r="D12" s="62">
        <f>COUNTIFS('Test Cases'!$A$5:$A$34,"*-*",'Test Cases'!$G$5:$G$34,"Fail")</f>
        <v/>
      </c>
      <c r="E12" s="62">
        <f>COUNTIFS('Test Cases'!$A$5:$A$34,"*-*",'Test Cases'!$G$5:$G$34,"Blocked")</f>
        <v/>
      </c>
      <c r="F12" s="62">
        <f>B12-C12-D12-E12</f>
        <v/>
      </c>
    </row>
    <row r="13" ht="8" customHeight="1"/>
    <row r="14">
      <c r="A14" s="63" t="inlineStr">
        <is>
          <t>By area</t>
        </is>
      </c>
    </row>
    <row r="15">
      <c r="A15" s="34" t="inlineStr">
        <is>
          <t>Area</t>
        </is>
      </c>
      <c r="B15" s="34" t="inlineStr">
        <is>
          <t>Cases</t>
        </is>
      </c>
      <c r="C15" s="34" t="inlineStr">
        <is>
          <t>Passed</t>
        </is>
      </c>
      <c r="D15" s="34" t="inlineStr">
        <is>
          <t>Failed</t>
        </is>
      </c>
      <c r="E15" s="34" t="inlineStr">
        <is>
          <t>Blocked</t>
        </is>
      </c>
      <c r="F15" s="34" t="inlineStr">
        <is>
          <t>Not run</t>
        </is>
      </c>
    </row>
    <row r="16" ht="20" customHeight="1">
      <c r="A16" s="44" t="inlineStr">
        <is>
          <t>Shift and bills</t>
        </is>
      </c>
      <c r="B16" s="64">
        <f>COUNTIFS('Test Cases'!$A$5:$A$34,"*-*",'Test Cases'!$B$5:$B$34,A16)</f>
        <v/>
      </c>
      <c r="C16" s="64">
        <f>COUNTIFS('Test Cases'!$A$5:$A$34,"*-*",'Test Cases'!$B$5:$B$34,A16,'Test Cases'!$G$5:$G$34,"Pass")</f>
        <v/>
      </c>
      <c r="D16" s="64">
        <f>COUNTIFS('Test Cases'!$A$5:$A$34,"*-*",'Test Cases'!$B$5:$B$34,A16,'Test Cases'!$G$5:$G$34,"Fail")</f>
        <v/>
      </c>
      <c r="E16" s="64">
        <f>COUNTIFS('Test Cases'!$A$5:$A$34,"*-*",'Test Cases'!$B$5:$B$34,A16,'Test Cases'!$G$5:$G$34,"Blocked")</f>
        <v/>
      </c>
      <c r="F16" s="64">
        <f>B16-C16-D16-E16</f>
        <v/>
      </c>
    </row>
    <row r="17" ht="20" customHeight="1">
      <c r="A17" s="50" t="inlineStr">
        <is>
          <t>Patient payments</t>
        </is>
      </c>
      <c r="B17" s="65">
        <f>COUNTIFS('Test Cases'!$A$5:$A$34,"*-*",'Test Cases'!$B$5:$B$34,A17)</f>
        <v/>
      </c>
      <c r="C17" s="65">
        <f>COUNTIFS('Test Cases'!$A$5:$A$34,"*-*",'Test Cases'!$B$5:$B$34,A17,'Test Cases'!$G$5:$G$34,"Pass")</f>
        <v/>
      </c>
      <c r="D17" s="65">
        <f>COUNTIFS('Test Cases'!$A$5:$A$34,"*-*",'Test Cases'!$B$5:$B$34,A17,'Test Cases'!$G$5:$G$34,"Fail")</f>
        <v/>
      </c>
      <c r="E17" s="65">
        <f>COUNTIFS('Test Cases'!$A$5:$A$34,"*-*",'Test Cases'!$B$5:$B$34,A17,'Test Cases'!$G$5:$G$34,"Blocked")</f>
        <v/>
      </c>
      <c r="F17" s="65">
        <f>B17-C17-D17-E17</f>
        <v/>
      </c>
    </row>
    <row r="18" ht="20" customHeight="1">
      <c r="A18" s="44" t="inlineStr">
        <is>
          <t>Doctor payments</t>
        </is>
      </c>
      <c r="B18" s="64">
        <f>COUNTIFS('Test Cases'!$A$5:$A$34,"*-*",'Test Cases'!$B$5:$B$34,A18)</f>
        <v/>
      </c>
      <c r="C18" s="64">
        <f>COUNTIFS('Test Cases'!$A$5:$A$34,"*-*",'Test Cases'!$B$5:$B$34,A18,'Test Cases'!$G$5:$G$34,"Pass")</f>
        <v/>
      </c>
      <c r="D18" s="64">
        <f>COUNTIFS('Test Cases'!$A$5:$A$34,"*-*",'Test Cases'!$B$5:$B$34,A18,'Test Cases'!$G$5:$G$34,"Fail")</f>
        <v/>
      </c>
      <c r="E18" s="64">
        <f>COUNTIFS('Test Cases'!$A$5:$A$34,"*-*",'Test Cases'!$B$5:$B$34,A18,'Test Cases'!$G$5:$G$34,"Blocked")</f>
        <v/>
      </c>
      <c r="F18" s="64">
        <f>B18-C18-D18-E18</f>
        <v/>
      </c>
    </row>
    <row r="19" ht="20" customHeight="1">
      <c r="A19" s="50" t="inlineStr">
        <is>
          <t>Balances and reports</t>
        </is>
      </c>
      <c r="B19" s="65">
        <f>COUNTIFS('Test Cases'!$A$5:$A$34,"*-*",'Test Cases'!$B$5:$B$34,A19)</f>
        <v/>
      </c>
      <c r="C19" s="65">
        <f>COUNTIFS('Test Cases'!$A$5:$A$34,"*-*",'Test Cases'!$B$5:$B$34,A19,'Test Cases'!$G$5:$G$34,"Pass")</f>
        <v/>
      </c>
      <c r="D19" s="65">
        <f>COUNTIFS('Test Cases'!$A$5:$A$34,"*-*",'Test Cases'!$B$5:$B$34,A19,'Test Cases'!$G$5:$G$34,"Fail")</f>
        <v/>
      </c>
      <c r="E19" s="65">
        <f>COUNTIFS('Test Cases'!$A$5:$A$34,"*-*",'Test Cases'!$B$5:$B$34,A19,'Test Cases'!$G$5:$G$34,"Blocked")</f>
        <v/>
      </c>
      <c r="F19" s="65">
        <f>B19-C19-D19-E19</f>
        <v/>
      </c>
    </row>
    <row r="20" ht="22" customHeight="1">
      <c r="A20" s="66" t="inlineStr">
        <is>
          <t>Total</t>
        </is>
      </c>
      <c r="B20" s="67">
        <f>SUM(B16:B19)</f>
        <v/>
      </c>
      <c r="C20" s="67">
        <f>SUM(C16:C19)</f>
        <v/>
      </c>
      <c r="D20" s="67">
        <f>SUM(D16:D19)</f>
        <v/>
      </c>
      <c r="E20" s="67">
        <f>SUM(E16:E19)</f>
        <v/>
      </c>
      <c r="F20" s="67">
        <f>SUM(F16:F19)</f>
        <v/>
      </c>
      <c r="G20" s="68">
        <f>IF(B20=B12,"Totals match","Check the area totals")</f>
        <v/>
      </c>
    </row>
    <row r="21"/>
    <row r="22">
      <c r="A22" s="63" t="inlineStr">
        <is>
          <t>Comments</t>
        </is>
      </c>
    </row>
    <row r="23" ht="20" customHeight="1">
      <c r="A23" s="69" t="n"/>
      <c r="B23" s="78" t="n"/>
      <c r="C23" s="78" t="n"/>
      <c r="D23" s="78" t="n"/>
      <c r="E23" s="78" t="n"/>
      <c r="F23" s="79" t="n"/>
    </row>
    <row r="24">
      <c r="A24" s="80" t="n"/>
      <c r="F24" s="81" t="n"/>
    </row>
    <row r="25">
      <c r="A25" s="80" t="n"/>
      <c r="F25" s="81" t="n"/>
    </row>
    <row r="26">
      <c r="A26" s="82" t="n"/>
      <c r="B26" s="83" t="n"/>
      <c r="C26" s="83" t="n"/>
      <c r="D26" s="83" t="n"/>
      <c r="E26" s="83" t="n"/>
      <c r="F26" s="84" t="n"/>
    </row>
    <row r="27"/>
    <row r="28">
      <c r="A28" s="70" t="inlineStr">
        <is>
          <t>Sign-off</t>
        </is>
      </c>
    </row>
    <row r="29">
      <c r="B29" s="71" t="inlineStr">
        <is>
          <t>Name</t>
        </is>
      </c>
      <c r="D29" s="71" t="inlineStr">
        <is>
          <t>Signature</t>
        </is>
      </c>
      <c r="F29" s="71" t="inlineStr">
        <is>
          <t>Date</t>
        </is>
      </c>
    </row>
    <row r="30" ht="22" customHeight="1">
      <c r="A30" s="72" t="inlineStr">
        <is>
          <t>Tester</t>
        </is>
      </c>
      <c r="B30" s="57" t="n"/>
      <c r="C30" s="77" t="n"/>
      <c r="D30" s="57" t="n"/>
      <c r="E30" s="77" t="n"/>
      <c r="F30" s="57" t="n"/>
    </row>
    <row r="31" ht="22" customHeight="1">
      <c r="A31" s="72" t="inlineStr">
        <is>
          <t>Reviewer</t>
        </is>
      </c>
      <c r="B31" s="57" t="n"/>
      <c r="C31" s="77" t="n"/>
      <c r="D31" s="57" t="n"/>
      <c r="E31" s="77" t="n"/>
      <c r="F31" s="57" t="n"/>
    </row>
    <row r="32"/>
    <row r="33" ht="28" customHeight="1">
      <c r="A33" s="73" t="inlineStr">
        <is>
          <t>Not run includes any case left blank. Area totals should match the Total row above. A split payment is two receipts, but the doctor balance moves by the full fee of both. The tax is reported on its own.</t>
        </is>
      </c>
    </row>
  </sheetData>
  <mergeCells count="23">
    <mergeCell ref="B7:C7"/>
    <mergeCell ref="B31:C31"/>
    <mergeCell ref="D31:E31"/>
    <mergeCell ref="E6:G6"/>
    <mergeCell ref="A33:F33"/>
    <mergeCell ref="A14:F14"/>
    <mergeCell ref="A22:F22"/>
    <mergeCell ref="A4:C4"/>
    <mergeCell ref="B8:C8"/>
    <mergeCell ref="A1:G1"/>
    <mergeCell ref="A28:F28"/>
    <mergeCell ref="B29:C29"/>
    <mergeCell ref="B9:C9"/>
    <mergeCell ref="B6:C6"/>
    <mergeCell ref="B30:C30"/>
    <mergeCell ref="D30:E30"/>
    <mergeCell ref="E5:G5"/>
    <mergeCell ref="B5:C5"/>
    <mergeCell ref="D29:E29"/>
    <mergeCell ref="A2:G2"/>
    <mergeCell ref="A23:F26"/>
    <mergeCell ref="D7:G9"/>
    <mergeCell ref="D4:G4"/>
  </mergeCells>
  <pageMargins left="0.5" right="0.5" top="0.5" bottom="0.5" header="0.5" footer="0.5"/>
  <pageSetup orientation="landscape" paperSize="9" fitToHeight="1" fitToWidth="1"/>
</worksheet>
</file>

<file path=xl/worksheets/sheet4.xml><?xml version="1.0" encoding="utf-8"?>
<worksheet xmlns="http://schemas.openxmlformats.org/spreadsheetml/2006/main">
  <sheetPr>
    <outlinePr summaryBelow="1" summaryRight="1"/>
    <pageSetUpPr fitToPage="1"/>
  </sheetPr>
  <dimension ref="A1:A4"/>
  <sheetViews>
    <sheetView workbookViewId="0">
      <selection activeCell="A1" sqref="A1"/>
    </sheetView>
  </sheetViews>
  <sheetFormatPr baseColWidth="8" defaultRowHeight="18"/>
  <sheetData>
    <row r="1">
      <c r="A1" s="74" t="inlineStr">
        <is>
          <t>Pass</t>
        </is>
      </c>
    </row>
    <row r="2">
      <c r="A2" s="74" t="inlineStr">
        <is>
          <t>Fail</t>
        </is>
      </c>
    </row>
    <row r="3">
      <c r="A3" s="74" t="inlineStr">
        <is>
          <t>Blocked</t>
        </is>
      </c>
    </row>
    <row r="4">
      <c r="A4" s="74" t="inlineStr">
        <is>
          <t>Not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2026-10-23T03:53:42Z</dcterms:created>
  <dcterms:modified xmlns:dcterms="http://purl.org/dc/terms/" xmlns:xsi="http://www.w3.org/2001/XMLSchema-instance" xsi:type="dcterms:W3CDTF">2026-10-23T03:59:47Z</dcterms:modified>
</cp:coreProperties>
</file>